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CI" sheetId="1" state="visible" r:id="rId1"/>
    <sheet name="Analysis" sheetId="2" state="visible" r:id="rId2"/>
    <sheet name="Gaps" sheetId="3" state="visible" r:id="rId3"/>
  </sheets>
  <definedNames>
    <definedName name="_xlnm._FilterDatabase" localSheetId="0" hidden="1">'RACI'!$A$2:$W$104</definedName>
    <definedName name="_xlnm._FilterDatabase" localSheetId="2" hidden="1">'Gaps'!$A$1:$G$21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color rgb="00FFFFFF"/>
      <sz val="8"/>
    </font>
    <font>
      <name val="Arial"/>
      <b val="1"/>
      <color rgb="004A3C14"/>
      <sz val="8"/>
    </font>
    <font>
      <name val="Arial"/>
      <sz val="10"/>
    </font>
    <font>
      <name val="Arial"/>
      <b val="1"/>
      <sz val="10"/>
    </font>
    <font>
      <name val="Arial"/>
      <b val="1"/>
      <sz val="13"/>
    </font>
    <font>
      <name val="Arial"/>
      <i val="1"/>
      <sz val="9"/>
    </font>
    <font>
      <name val="Arial"/>
      <b val="1"/>
      <sz val="11"/>
    </font>
  </fonts>
  <fills count="7">
    <fill>
      <patternFill/>
    </fill>
    <fill>
      <patternFill patternType="gray125"/>
    </fill>
    <fill>
      <patternFill patternType="solid">
        <fgColor rgb="001F3B4D"/>
      </patternFill>
    </fill>
    <fill>
      <patternFill patternType="solid">
        <fgColor rgb="00F3D54E"/>
      </patternFill>
    </fill>
    <fill>
      <patternFill patternType="solid">
        <fgColor rgb="006E8AAE"/>
      </patternFill>
    </fill>
    <fill>
      <patternFill patternType="solid">
        <fgColor rgb="008A665A"/>
      </patternFill>
    </fill>
    <fill>
      <patternFill patternType="solid">
        <fgColor rgb="00EDF1F5"/>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6">
    <xf numFmtId="0" fontId="0" fillId="0" borderId="0" pivotButton="0" quotePrefix="0" xfId="0"/>
    <xf numFmtId="0" fontId="1" fillId="2" borderId="1" applyAlignment="1" pivotButton="0" quotePrefix="0" xfId="0">
      <alignment vertical="center" wrapText="1"/>
    </xf>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center" vertical="center"/>
    </xf>
    <xf numFmtId="0" fontId="5" fillId="6"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6" fillId="0" borderId="0" pivotButton="0" quotePrefix="0" xfId="0"/>
    <xf numFmtId="0" fontId="0" fillId="5" borderId="0" pivotButton="0" quotePrefix="0" xfId="0"/>
    <xf numFmtId="0" fontId="4" fillId="0" borderId="0" pivotButton="0" quotePrefix="0" xfId="0"/>
    <xf numFmtId="0" fontId="0" fillId="4" borderId="0" pivotButton="0" quotePrefix="0" xfId="0"/>
    <xf numFmtId="0" fontId="5" fillId="0" borderId="0" pivotButton="0" quotePrefix="0" xfId="0"/>
    <xf numFmtId="0" fontId="4" fillId="0" borderId="0" applyAlignment="1" pivotButton="0" quotePrefix="0" xfId="0">
      <alignment horizontal="center" vertical="center"/>
    </xf>
    <xf numFmtId="0" fontId="4" fillId="3" borderId="0" pivotButton="0" quotePrefix="0" xfId="0"/>
    <xf numFmtId="0" fontId="4" fillId="0" borderId="0" applyAlignment="1" pivotButton="0" quotePrefix="0" xfId="0">
      <alignment vertical="top" wrapText="1"/>
    </xf>
    <xf numFmtId="0" fontId="6" fillId="0" borderId="0" applyAlignment="1" pivotButton="0" quotePrefix="0" xfId="0">
      <alignment vertical="top" wrapText="1"/>
    </xf>
    <xf numFmtId="0" fontId="1" fillId="2" borderId="0" applyAlignment="1" pivotButton="0" quotePrefix="0" xfId="0">
      <alignment vertical="center"/>
    </xf>
    <xf numFmtId="0" fontId="1" fillId="2" borderId="0" applyAlignment="1" pivotButton="0" quotePrefix="0" xfId="0">
      <alignment horizontal="center" vertical="center"/>
    </xf>
    <xf numFmtId="0" fontId="5" fillId="0" borderId="0" applyAlignment="1" pivotButton="0" quotePrefix="0" xfId="0">
      <alignment horizontal="center"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62"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26" customWidth="1" min="21" max="21"/>
    <col width="58" customWidth="1" min="22" max="22"/>
    <col width="82" customWidth="1" min="23" max="23"/>
  </cols>
  <sheetData>
    <row r="1" ht="28" customHeight="1">
      <c r="A1" s="1" t="inlineStr">
        <is>
          <t>Function</t>
        </is>
      </c>
      <c r="B1" s="1" t="inlineStr">
        <is>
          <t>Activity</t>
        </is>
      </c>
      <c r="C1" s="2" t="inlineStr">
        <is>
          <t>AC</t>
        </is>
      </c>
      <c r="D1" s="2" t="inlineStr">
        <is>
          <t>DI</t>
        </is>
      </c>
      <c r="E1" s="2" t="inlineStr">
        <is>
          <t>AB</t>
        </is>
      </c>
      <c r="F1" s="2" t="inlineStr">
        <is>
          <t>NI</t>
        </is>
      </c>
      <c r="G1" s="2" t="inlineStr">
        <is>
          <t>OPS</t>
        </is>
      </c>
      <c r="H1" s="2" t="inlineStr">
        <is>
          <t>PDS</t>
        </is>
      </c>
      <c r="I1" s="2" t="inlineStr">
        <is>
          <t>SS</t>
        </is>
      </c>
      <c r="J1" s="2" t="inlineStr">
        <is>
          <t>KL</t>
        </is>
      </c>
      <c r="K1" s="2" t="inlineStr">
        <is>
          <t>EH</t>
        </is>
      </c>
      <c r="L1" s="2" t="inlineStr">
        <is>
          <t>IT</t>
        </is>
      </c>
      <c r="M1" s="2" t="inlineStr">
        <is>
          <t>JH</t>
        </is>
      </c>
      <c r="N1" s="2" t="inlineStr">
        <is>
          <t>PC</t>
        </is>
      </c>
      <c r="O1" s="2" t="inlineStr">
        <is>
          <t>PR</t>
        </is>
      </c>
      <c r="P1" s="2" t="inlineStr">
        <is>
          <t>IF</t>
        </is>
      </c>
      <c r="Q1" s="2" t="inlineStr">
        <is>
          <t>CH</t>
        </is>
      </c>
      <c r="R1" s="2" t="inlineStr">
        <is>
          <t>WI</t>
        </is>
      </c>
      <c r="S1" s="2" t="inlineStr">
        <is>
          <t>TK</t>
        </is>
      </c>
      <c r="T1" s="2" t="inlineStr">
        <is>
          <t>CI</t>
        </is>
      </c>
      <c r="U1" s="1" t="inlineStr">
        <is>
          <t>Transitions to</t>
        </is>
      </c>
      <c r="V1" s="1" t="inlineStr">
        <is>
          <t>Source</t>
        </is>
      </c>
      <c r="W1" s="1" t="inlineStr">
        <is>
          <t>Notes</t>
        </is>
      </c>
    </row>
    <row r="2">
      <c r="A2" s="3" t="inlineStr"/>
      <c r="B2" s="3" t="inlineStr"/>
      <c r="C2" s="3" t="inlineStr">
        <is>
          <t>Ayesha Curry</t>
        </is>
      </c>
      <c r="D2" s="3" t="inlineStr">
        <is>
          <t>Danielle Iturbe</t>
        </is>
      </c>
      <c r="E2" s="3" t="inlineStr">
        <is>
          <t>Alvin Belt</t>
        </is>
      </c>
      <c r="F2" s="3" t="inlineStr">
        <is>
          <t>Nicole Iturbe</t>
        </is>
      </c>
      <c r="G2" s="4" t="inlineStr">
        <is>
          <t>OPEN</t>
        </is>
      </c>
      <c r="H2" s="4" t="inlineStr">
        <is>
          <t>OPEN</t>
        </is>
      </c>
      <c r="I2" s="3" t="inlineStr">
        <is>
          <t>Soraya Salgadoe</t>
        </is>
      </c>
      <c r="J2" s="3" t="inlineStr">
        <is>
          <t>Kate Le</t>
        </is>
      </c>
      <c r="K2" s="3" t="inlineStr">
        <is>
          <t>Erin Hover</t>
        </is>
      </c>
      <c r="L2" s="3" t="inlineStr">
        <is>
          <t>Ivy Tan</t>
        </is>
      </c>
      <c r="M2" s="3" t="inlineStr">
        <is>
          <t>Jan Haeck</t>
        </is>
      </c>
      <c r="N2" s="3" t="inlineStr">
        <is>
          <t>Perrine Calvet</t>
        </is>
      </c>
      <c r="O2" s="3" t="inlineStr">
        <is>
          <t>Pedrero Regulatory</t>
        </is>
      </c>
      <c r="P2" s="3" t="inlineStr">
        <is>
          <t>Ironclad Finance</t>
        </is>
      </c>
      <c r="Q2" s="3" t="inlineStr">
        <is>
          <t>Calm HR</t>
        </is>
      </c>
      <c r="R2" s="3" t="inlineStr">
        <is>
          <t>WITHIN</t>
        </is>
      </c>
      <c r="S2" s="3" t="inlineStr">
        <is>
          <t>Teknologics</t>
        </is>
      </c>
      <c r="T2" s="3" t="inlineStr">
        <is>
          <t>Coastal Interactive</t>
        </is>
      </c>
      <c r="U2" s="3" t="inlineStr"/>
      <c r="V2" s="3" t="inlineStr"/>
      <c r="W2" s="3" t="inlineStr"/>
    </row>
    <row r="3">
      <c r="A3" s="5" t="inlineStr">
        <is>
          <t>Product Development</t>
        </is>
      </c>
      <c r="B3" s="6" t="inlineStr">
        <is>
          <t>Formula stage-gate progression through the PD Formula Tracker</t>
        </is>
      </c>
      <c r="C3" s="7" t="inlineStr"/>
      <c r="D3" s="7" t="inlineStr">
        <is>
          <t>I</t>
        </is>
      </c>
      <c r="E3" s="8" t="inlineStr">
        <is>
          <t>R</t>
        </is>
      </c>
      <c r="F3" s="7" t="inlineStr">
        <is>
          <t>C</t>
        </is>
      </c>
      <c r="G3" s="7" t="inlineStr"/>
      <c r="H3" s="7" t="inlineStr">
        <is>
          <t>-&gt;</t>
        </is>
      </c>
      <c r="I3" s="7" t="inlineStr">
        <is>
          <t>I</t>
        </is>
      </c>
      <c r="J3" s="7" t="inlineStr"/>
      <c r="K3" s="7" t="inlineStr"/>
      <c r="L3" s="7" t="inlineStr"/>
      <c r="M3" s="7" t="inlineStr"/>
      <c r="N3" s="9" t="inlineStr">
        <is>
          <t>A</t>
        </is>
      </c>
      <c r="O3" s="7" t="inlineStr"/>
      <c r="P3" s="7" t="inlineStr"/>
      <c r="Q3" s="7" t="inlineStr"/>
      <c r="R3" s="7" t="inlineStr"/>
      <c r="S3" s="7" t="inlineStr"/>
      <c r="T3" s="7" t="inlineStr"/>
      <c r="U3" s="6" t="inlineStr">
        <is>
          <t>Product Development Specialist</t>
        </is>
      </c>
      <c r="V3" s="6" t="inlineStr">
        <is>
          <t>.claude/skills/asana-pd-manager/references/role-map.md:16; .claude/skills/asana-pd-manager/SKILL.md:60; Alvin, 2026-07-31 (Coastal Interactive; PD visibility)</t>
        </is>
      </c>
      <c r="W3" s="6" t="inlineStr">
        <is>
          <t>PD Lead holds technical sign-off on formula stage moves. Operator confirms every move (Rule 1 preview); reversals get a stronger intent check. Perrine and Soraya are never blank on a PD row - PD technical guidance and the marketing read both need visibility on every product decision.</t>
        </is>
      </c>
    </row>
    <row r="4">
      <c r="A4" s="5" t="inlineStr">
        <is>
          <t>Product Development</t>
        </is>
      </c>
      <c r="B4" s="6" t="inlineStr">
        <is>
          <t>Compatibility, stability, RIPT and PET decisions (pre-launch)</t>
        </is>
      </c>
      <c r="C4" s="7" t="inlineStr"/>
      <c r="D4" s="7" t="inlineStr"/>
      <c r="E4" s="7" t="inlineStr">
        <is>
          <t>C</t>
        </is>
      </c>
      <c r="F4" s="7" t="inlineStr">
        <is>
          <t>I</t>
        </is>
      </c>
      <c r="G4" s="7" t="inlineStr"/>
      <c r="H4" s="7" t="inlineStr"/>
      <c r="I4" s="7" t="inlineStr">
        <is>
          <t>I</t>
        </is>
      </c>
      <c r="J4" s="7" t="inlineStr"/>
      <c r="K4" s="7" t="inlineStr"/>
      <c r="L4" s="7" t="inlineStr"/>
      <c r="M4" s="7" t="inlineStr"/>
      <c r="N4" s="9" t="inlineStr">
        <is>
          <t>A/R</t>
        </is>
      </c>
      <c r="O4" s="7" t="inlineStr"/>
      <c r="P4" s="7" t="inlineStr"/>
      <c r="Q4" s="7" t="inlineStr"/>
      <c r="R4" s="7" t="inlineStr"/>
      <c r="S4" s="7" t="inlineStr"/>
      <c r="T4" s="7" t="inlineStr"/>
      <c r="U4" s="6" t="inlineStr"/>
      <c r="V4" s="6" t="inlineStr">
        <is>
          <t>.claude/skills/asana-pd-manager/references/role-map.md:16; Alvin, 2026-07-31 (Coastal Interactive; PD visibility)</t>
        </is>
      </c>
      <c r="W4" s="6" t="inlineStr">
        <is>
          <t>PD Lead owns the technical call outright. A and R the same person, and PC is an external contractor. Perrine and Soraya are never blank on a PD row - PD technical guidance and the marketing read both need visibility on every product decision.</t>
        </is>
      </c>
    </row>
    <row r="5">
      <c r="A5" s="5" t="inlineStr">
        <is>
          <t>Product Development</t>
        </is>
      </c>
      <c r="B5" s="6" t="inlineStr">
        <is>
          <t>Packaging development with fillers and component vendors</t>
        </is>
      </c>
      <c r="C5" s="7" t="inlineStr">
        <is>
          <t>I</t>
        </is>
      </c>
      <c r="D5" s="7" t="inlineStr">
        <is>
          <t>I</t>
        </is>
      </c>
      <c r="E5" s="7" t="inlineStr">
        <is>
          <t>C</t>
        </is>
      </c>
      <c r="F5" s="7" t="inlineStr"/>
      <c r="G5" s="7" t="inlineStr"/>
      <c r="H5" s="7" t="inlineStr"/>
      <c r="I5" s="7" t="inlineStr">
        <is>
          <t>I</t>
        </is>
      </c>
      <c r="J5" s="7" t="inlineStr"/>
      <c r="K5" s="9" t="inlineStr">
        <is>
          <t>A</t>
        </is>
      </c>
      <c r="L5" s="7" t="inlineStr">
        <is>
          <t>C</t>
        </is>
      </c>
      <c r="M5" s="8" t="inlineStr">
        <is>
          <t>R</t>
        </is>
      </c>
      <c r="N5" s="7" t="inlineStr">
        <is>
          <t>C</t>
        </is>
      </c>
      <c r="O5" s="7" t="inlineStr"/>
      <c r="P5" s="7" t="inlineStr"/>
      <c r="Q5" s="7" t="inlineStr"/>
      <c r="R5" s="7" t="inlineStr"/>
      <c r="S5" s="7" t="inlineStr"/>
      <c r="T5" s="7" t="inlineStr"/>
      <c r="U5" s="6" t="inlineStr"/>
      <c r="V5" s="6" t="inlineStr">
        <is>
          <t>.claude/skills/asana-pd-manager/references/role-map.md:16,23; Alvin, 2026-07-31 (role correction); Alvin, 2026-07-31 (Coastal Interactive; PD visibility)</t>
        </is>
      </c>
      <c r="W5" s="6" t="inlineStr">
        <is>
          <t>PD Lead owns packaging dev calls; Jan executes packaging and artwork under Erin. Both are contractors. Erin is the lead technical authority on packaging and artwork and answers for the outcome; Jan executes under her. Perrine consults where formula contact or compatibility is in play. Both Erin and Jan are contractors. Perrine and Soraya are never blank on a PD row - PD technical guidance and the marketing read both need visibility on every product decision.</t>
        </is>
      </c>
    </row>
    <row r="6">
      <c r="A6" s="5" t="inlineStr">
        <is>
          <t>Product Development</t>
        </is>
      </c>
      <c r="B6" s="6" t="inlineStr">
        <is>
          <t>Direction-changing PD decisions (launch scope, supplier change, kill calls)</t>
        </is>
      </c>
      <c r="C6" s="7" t="inlineStr">
        <is>
          <t>I</t>
        </is>
      </c>
      <c r="D6" s="9" t="inlineStr">
        <is>
          <t>A</t>
        </is>
      </c>
      <c r="E6" s="8" t="inlineStr">
        <is>
          <t>R</t>
        </is>
      </c>
      <c r="F6" s="7" t="inlineStr">
        <is>
          <t>C</t>
        </is>
      </c>
      <c r="G6" s="7" t="inlineStr"/>
      <c r="H6" s="7" t="inlineStr"/>
      <c r="I6" s="7" t="inlineStr">
        <is>
          <t>I</t>
        </is>
      </c>
      <c r="J6" s="7" t="inlineStr"/>
      <c r="K6" s="7" t="inlineStr"/>
      <c r="L6" s="7" t="inlineStr"/>
      <c r="M6" s="7" t="inlineStr"/>
      <c r="N6" s="7" t="inlineStr">
        <is>
          <t>C</t>
        </is>
      </c>
      <c r="O6" s="7" t="inlineStr"/>
      <c r="P6" s="7" t="inlineStr"/>
      <c r="Q6" s="7" t="inlineStr"/>
      <c r="R6" s="7" t="inlineStr"/>
      <c r="S6" s="7" t="inlineStr"/>
      <c r="T6" s="7" t="inlineStr"/>
      <c r="U6" s="6" t="inlineStr"/>
      <c r="V6" s="6" t="inlineStr">
        <is>
          <t>.claude/skills/asana-pd-manager/references/role-map.md:17,18; Alvin, 2026-07-31 (Coastal Interactive; PD visibility)</t>
        </is>
      </c>
      <c r="W6" s="6" t="inlineStr">
        <is>
          <t>President approves. PD Consult is final-line approver alongside the President. Perrine and Soraya are never blank on a PD row - PD technical guidance and the marketing read both need visibility on every product decision.</t>
        </is>
      </c>
    </row>
    <row r="7">
      <c r="A7" s="5" t="inlineStr">
        <is>
          <t>Product Development</t>
        </is>
      </c>
      <c r="B7" s="6" t="inlineStr">
        <is>
          <t>Founder approval on brand-line moves</t>
        </is>
      </c>
      <c r="C7" s="9" t="inlineStr">
        <is>
          <t>A</t>
        </is>
      </c>
      <c r="D7" s="7" t="inlineStr">
        <is>
          <t>C</t>
        </is>
      </c>
      <c r="E7" s="8" t="inlineStr">
        <is>
          <t>R</t>
        </is>
      </c>
      <c r="F7" s="7" t="inlineStr">
        <is>
          <t>C</t>
        </is>
      </c>
      <c r="G7" s="7" t="inlineStr"/>
      <c r="H7" s="7" t="inlineStr"/>
      <c r="I7" s="7" t="inlineStr">
        <is>
          <t>I</t>
        </is>
      </c>
      <c r="J7" s="7" t="inlineStr"/>
      <c r="K7" s="7" t="inlineStr"/>
      <c r="L7" s="7" t="inlineStr"/>
      <c r="M7" s="7" t="inlineStr"/>
      <c r="N7" s="7" t="inlineStr">
        <is>
          <t>I</t>
        </is>
      </c>
      <c r="O7" s="7" t="inlineStr"/>
      <c r="P7" s="7" t="inlineStr"/>
      <c r="Q7" s="7" t="inlineStr"/>
      <c r="R7" s="7" t="inlineStr"/>
      <c r="S7" s="7" t="inlineStr"/>
      <c r="T7" s="7" t="inlineStr"/>
      <c r="U7" s="6" t="inlineStr"/>
      <c r="V7" s="6" t="inlineStr">
        <is>
          <t>.claude/skills/asana-pd-manager/references/role-map.md:19; Alvin, 2026-07-31 (Coastal Interactive; PD visibility)</t>
        </is>
      </c>
      <c r="W7" s="6" t="inlineStr">
        <is>
          <t>Founder gate. Ayesha receives weekly PD signal through the Friday briefing. Perrine and Soraya are never blank on a PD row - PD technical guidance and the marketing read both need visibility on every product decision.</t>
        </is>
      </c>
    </row>
    <row r="8">
      <c r="A8" s="5" t="inlineStr">
        <is>
          <t>Product Development</t>
        </is>
      </c>
      <c r="B8" s="6" t="inlineStr">
        <is>
          <t>PD signal intake from meetings and supplier email, plus PD status reporting</t>
        </is>
      </c>
      <c r="C8" s="7" t="inlineStr"/>
      <c r="D8" s="7" t="inlineStr">
        <is>
          <t>I</t>
        </is>
      </c>
      <c r="E8" s="9" t="inlineStr">
        <is>
          <t>A/R</t>
        </is>
      </c>
      <c r="F8" s="7" t="inlineStr">
        <is>
          <t>C</t>
        </is>
      </c>
      <c r="G8" s="7" t="inlineStr"/>
      <c r="H8" s="7" t="inlineStr">
        <is>
          <t>-&gt;</t>
        </is>
      </c>
      <c r="I8" s="7" t="inlineStr">
        <is>
          <t>I</t>
        </is>
      </c>
      <c r="J8" s="7" t="inlineStr"/>
      <c r="K8" s="7" t="inlineStr"/>
      <c r="L8" s="7" t="inlineStr"/>
      <c r="M8" s="7" t="inlineStr"/>
      <c r="N8" s="7" t="inlineStr">
        <is>
          <t>C</t>
        </is>
      </c>
      <c r="O8" s="7" t="inlineStr"/>
      <c r="P8" s="7" t="inlineStr"/>
      <c r="Q8" s="7" t="inlineStr"/>
      <c r="R8" s="7" t="inlineStr"/>
      <c r="S8" s="7" t="inlineStr"/>
      <c r="T8" s="7" t="inlineStr"/>
      <c r="U8" s="6" t="inlineStr">
        <is>
          <t>Product Development Specialist</t>
        </is>
      </c>
      <c r="V8" s="6" t="inlineStr">
        <is>
          <t>.claude/skills/fireflies-asana-bridge/SKILL.md:287; .claude/skills/outlook-plm-bridge/SKILL.md:191; .claude/skills/sjs-status-reporter/SKILL.md:331,385; Alvin, 2026-07-31 (Coastal Interactive; PD visibility)</t>
        </is>
      </c>
      <c r="W8" s="6" t="inlineStr">
        <is>
          <t>Alvin is the named approver on Flow D formula-approval decisions and classifies every meeting item. Covers the three PD hub dashboards. A and R both AB. Perrine and Soraya are never blank on a PD row - PD technical guidance and the marketing read both need visibility on every product decision.</t>
        </is>
      </c>
    </row>
    <row r="9">
      <c r="A9" s="5" t="inlineStr">
        <is>
          <t>Product Development</t>
        </is>
      </c>
      <c r="B9" s="6" t="inlineStr">
        <is>
          <t>Reformulation triggered by a Quality or Regulatory reverse-handoff</t>
        </is>
      </c>
      <c r="C9" s="7" t="inlineStr"/>
      <c r="D9" s="7" t="inlineStr">
        <is>
          <t>I</t>
        </is>
      </c>
      <c r="E9" s="8" t="inlineStr">
        <is>
          <t>R</t>
        </is>
      </c>
      <c r="F9" s="7" t="inlineStr">
        <is>
          <t>C</t>
        </is>
      </c>
      <c r="G9" s="7" t="inlineStr"/>
      <c r="H9" s="7" t="inlineStr"/>
      <c r="I9" s="7" t="inlineStr">
        <is>
          <t>I</t>
        </is>
      </c>
      <c r="J9" s="7" t="inlineStr"/>
      <c r="K9" s="7" t="inlineStr"/>
      <c r="L9" s="7" t="inlineStr"/>
      <c r="M9" s="7" t="inlineStr"/>
      <c r="N9" s="9" t="inlineStr">
        <is>
          <t>A</t>
        </is>
      </c>
      <c r="O9" s="7" t="inlineStr"/>
      <c r="P9" s="7" t="inlineStr"/>
      <c r="Q9" s="7" t="inlineStr"/>
      <c r="R9" s="7" t="inlineStr"/>
      <c r="S9" s="7" t="inlineStr"/>
      <c r="T9" s="7" t="inlineStr"/>
      <c r="U9" s="6" t="inlineStr"/>
      <c r="V9" s="6" t="inlineStr">
        <is>
          <t>.claude/skills/asana-pd-manager/references/role-map.md:16; .claude/skills/capa-coordinator/SKILL.md:85; Alvin, 2026-07-31 (Coastal Interactive; PD visibility)</t>
        </is>
      </c>
      <c r="W9" s="6" t="inlineStr">
        <is>
          <t>PD Lead is cross-flagged for any PD-side reformulation. Reformulation handoff rides the root-cause approval - no separate gate. Perrine and Soraya are never blank on a PD row - PD technical guidance and the marketing read both need visibility on every product decision.</t>
        </is>
      </c>
    </row>
    <row r="10">
      <c r="A10" s="5" t="inlineStr">
        <is>
          <t>Product Development</t>
        </is>
      </c>
      <c r="B10" s="6" t="inlineStr">
        <is>
          <t>Document control: specifications, dielines, artwork versions, BOMs, landed-cost integrity</t>
        </is>
      </c>
      <c r="C10" s="7" t="inlineStr"/>
      <c r="D10" s="7" t="inlineStr"/>
      <c r="E10" s="8" t="inlineStr">
        <is>
          <t>R</t>
        </is>
      </c>
      <c r="F10" s="9" t="inlineStr">
        <is>
          <t>A</t>
        </is>
      </c>
      <c r="G10" s="7" t="inlineStr"/>
      <c r="H10" s="7" t="inlineStr">
        <is>
          <t>-&gt;</t>
        </is>
      </c>
      <c r="I10" s="7" t="inlineStr">
        <is>
          <t>I</t>
        </is>
      </c>
      <c r="J10" s="7" t="inlineStr"/>
      <c r="K10" s="7" t="inlineStr">
        <is>
          <t>C</t>
        </is>
      </c>
      <c r="L10" s="7" t="inlineStr"/>
      <c r="M10" s="7" t="inlineStr">
        <is>
          <t>C</t>
        </is>
      </c>
      <c r="N10" s="7" t="inlineStr">
        <is>
          <t>C</t>
        </is>
      </c>
      <c r="O10" s="7" t="inlineStr"/>
      <c r="P10" s="7" t="inlineStr"/>
      <c r="Q10" s="7" t="inlineStr"/>
      <c r="R10" s="7" t="inlineStr"/>
      <c r="S10" s="7" t="inlineStr"/>
      <c r="T10" s="7" t="inlineStr"/>
      <c r="U10" s="6" t="inlineStr">
        <is>
          <t>Product Development Specialist</t>
        </is>
      </c>
      <c r="V10" s="6" t="inlineStr">
        <is>
          <t>SharePoint: Sweet July Skin - Product Development Specialist - Job Description.docx; Alvin, 2026-07-31 (Coastal Interactive; PD visibility)</t>
        </is>
      </c>
      <c r="W10" s="6" t="inlineStr">
        <is>
          <t>Documentation quality is Nicole's gate. The PD Specialist JD names document control as a core responsibility, so this row transitions on hire. Perrine and Soraya are never blank on a PD row - PD technical guidance and the marketing read both need visibility on every product decision.</t>
        </is>
      </c>
    </row>
    <row r="11">
      <c r="A11" s="5" t="inlineStr">
        <is>
          <t>Operations &amp; Supply Chain</t>
        </is>
      </c>
      <c r="B11" s="6" t="inlineStr">
        <is>
          <t>Vendor master data, onboarding (NDA + W9 gate), sourcing and performance scorecards</t>
        </is>
      </c>
      <c r="C11" s="7" t="inlineStr"/>
      <c r="D11" s="7" t="inlineStr"/>
      <c r="E11" s="9" t="inlineStr">
        <is>
          <t>A/R</t>
        </is>
      </c>
      <c r="F11" s="7" t="inlineStr">
        <is>
          <t>C</t>
        </is>
      </c>
      <c r="G11" s="7" t="inlineStr">
        <is>
          <t>-&gt;</t>
        </is>
      </c>
      <c r="H11" s="7" t="inlineStr"/>
      <c r="I11" s="7" t="inlineStr">
        <is>
          <t>C</t>
        </is>
      </c>
      <c r="J11" s="7" t="inlineStr"/>
      <c r="K11" s="7" t="inlineStr"/>
      <c r="L11" s="7" t="inlineStr"/>
      <c r="M11" s="7" t="inlineStr"/>
      <c r="N11" s="7" t="inlineStr">
        <is>
          <t>C</t>
        </is>
      </c>
      <c r="O11" s="7" t="inlineStr"/>
      <c r="P11" s="7" t="inlineStr"/>
      <c r="Q11" s="7" t="inlineStr"/>
      <c r="R11" s="7" t="inlineStr"/>
      <c r="S11" s="7" t="inlineStr"/>
      <c r="T11" s="7" t="inlineStr"/>
      <c r="U11" s="6" t="inlineStr">
        <is>
          <t>Operations Specialist</t>
        </is>
      </c>
      <c r="V11" s="6" t="inlineStr">
        <is>
          <t>.claude/skills/purchasing-manager/SKILL.md:42,46,75,154,158</t>
        </is>
      </c>
      <c r="W11" s="6" t="inlineStr">
        <is>
          <t>PLM vendor record created only after Operations approves at 2D. First-contact routing varies by vendor_type (SKILL.md:50-56) but the approval gate does not. A and R both AB.</t>
        </is>
      </c>
    </row>
    <row r="12">
      <c r="A12" s="5" t="inlineStr">
        <is>
          <t>Operations &amp; Supply Chain</t>
        </is>
      </c>
      <c r="B12" s="6" t="inlineStr">
        <is>
          <t>Purchase order lifecycle: placement, acknowledgement variance, close and discrepancy</t>
        </is>
      </c>
      <c r="C12" s="7" t="inlineStr"/>
      <c r="D12" s="7" t="inlineStr"/>
      <c r="E12" s="9" t="inlineStr">
        <is>
          <t>A/R</t>
        </is>
      </c>
      <c r="F12" s="7" t="inlineStr"/>
      <c r="G12" s="7" t="inlineStr">
        <is>
          <t>-&gt;</t>
        </is>
      </c>
      <c r="H12" s="7" t="inlineStr"/>
      <c r="I12" s="7" t="inlineStr"/>
      <c r="J12" s="7" t="inlineStr"/>
      <c r="K12" s="7" t="inlineStr"/>
      <c r="L12" s="7" t="inlineStr"/>
      <c r="M12" s="7" t="inlineStr"/>
      <c r="N12" s="7" t="inlineStr">
        <is>
          <t>C</t>
        </is>
      </c>
      <c r="O12" s="7" t="inlineStr"/>
      <c r="P12" s="7" t="inlineStr"/>
      <c r="Q12" s="7" t="inlineStr"/>
      <c r="R12" s="7" t="inlineStr"/>
      <c r="S12" s="7" t="inlineStr"/>
      <c r="T12" s="7" t="inlineStr"/>
      <c r="U12" s="6" t="inlineStr">
        <is>
          <t>Operations Specialist</t>
        </is>
      </c>
      <c r="V12" s="6" t="inlineStr">
        <is>
          <t>.claude/skills/purchasing-manager/SKILL.md:108,116,140,248</t>
        </is>
      </c>
      <c r="W12" s="6" t="inlineStr">
        <is>
          <t>Six sub-flows from draft to close, plus Job 10 discrepancy investigation. Every gate is Operations. A and R both AB.</t>
        </is>
      </c>
    </row>
    <row r="13">
      <c r="A13" s="5" t="inlineStr">
        <is>
          <t>Operations &amp; Supply Chain</t>
        </is>
      </c>
      <c r="B13" s="6" t="inlineStr">
        <is>
          <t>Goods receipt on PD-linked purchase orders</t>
        </is>
      </c>
      <c r="C13" s="7" t="inlineStr"/>
      <c r="D13" s="7" t="inlineStr"/>
      <c r="E13" s="8" t="inlineStr">
        <is>
          <t>R</t>
        </is>
      </c>
      <c r="F13" s="7" t="inlineStr">
        <is>
          <t>C</t>
        </is>
      </c>
      <c r="G13" s="7" t="inlineStr"/>
      <c r="H13" s="7" t="inlineStr"/>
      <c r="I13" s="7" t="inlineStr"/>
      <c r="J13" s="7" t="inlineStr"/>
      <c r="K13" s="7" t="inlineStr"/>
      <c r="L13" s="7" t="inlineStr"/>
      <c r="M13" s="7" t="inlineStr"/>
      <c r="N13" s="9" t="inlineStr">
        <is>
          <t>A</t>
        </is>
      </c>
      <c r="O13" s="7" t="inlineStr"/>
      <c r="P13" s="7" t="inlineStr"/>
      <c r="Q13" s="7" t="inlineStr"/>
      <c r="R13" s="7" t="inlineStr"/>
      <c r="S13" s="7" t="inlineStr"/>
      <c r="T13" s="7" t="inlineStr"/>
      <c r="U13" s="6" t="inlineStr"/>
      <c r="V13" s="6" t="inlineStr">
        <is>
          <t>.claude/skills/purchasing-manager/SKILL.md:130</t>
        </is>
      </c>
      <c r="W13" s="6" t="inlineStr">
        <is>
          <t>PD owns the close on PD-linked receipts; Purchasing carries the receipt signal only. The one Ops row where accountability sits off the VP seat.</t>
        </is>
      </c>
    </row>
    <row r="14">
      <c r="A14" s="5" t="inlineStr">
        <is>
          <t>Operations &amp; Supply Chain</t>
        </is>
      </c>
      <c r="B14" s="6" t="inlineStr">
        <is>
          <t>Three-way reconciliation across PLM, Shopify and Logiwa</t>
        </is>
      </c>
      <c r="C14" s="7" t="inlineStr"/>
      <c r="D14" s="7" t="inlineStr"/>
      <c r="E14" s="9" t="inlineStr">
        <is>
          <t>A/R</t>
        </is>
      </c>
      <c r="F14" s="7" t="inlineStr">
        <is>
          <t>C</t>
        </is>
      </c>
      <c r="G14" s="7" t="inlineStr">
        <is>
          <t>-&gt;</t>
        </is>
      </c>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6" t="inlineStr">
        <is>
          <t>Operations Specialist</t>
        </is>
      </c>
      <c r="V14" s="6" t="inlineStr">
        <is>
          <t>.claude/skills/inventory-manager/SKILL.md:68</t>
        </is>
      </c>
      <c r="W14" s="6" t="inlineStr">
        <is>
          <t>Operations decides the correction direction, usually trusting Logiwa as physical reality. A and R both AB.</t>
        </is>
      </c>
    </row>
    <row r="15">
      <c r="A15" s="5" t="inlineStr">
        <is>
          <t>Operations &amp; Supply Chain</t>
        </is>
      </c>
      <c r="B15" s="6" t="inlineStr">
        <is>
          <t>Vendor invoice classification and cost capture (five HITL gates)</t>
        </is>
      </c>
      <c r="C15" s="7" t="inlineStr"/>
      <c r="D15" s="7" t="inlineStr">
        <is>
          <t>I</t>
        </is>
      </c>
      <c r="E15" s="9" t="inlineStr">
        <is>
          <t>A/R</t>
        </is>
      </c>
      <c r="F15" s="7" t="inlineStr">
        <is>
          <t>C</t>
        </is>
      </c>
      <c r="G15" s="7" t="inlineStr">
        <is>
          <t>-&gt;</t>
        </is>
      </c>
      <c r="H15" s="7" t="inlineStr"/>
      <c r="I15" s="7" t="inlineStr">
        <is>
          <t>C</t>
        </is>
      </c>
      <c r="J15" s="7" t="inlineStr"/>
      <c r="K15" s="7" t="inlineStr"/>
      <c r="L15" s="7" t="inlineStr"/>
      <c r="M15" s="7" t="inlineStr"/>
      <c r="N15" s="7" t="inlineStr"/>
      <c r="O15" s="7" t="inlineStr"/>
      <c r="P15" s="7" t="inlineStr">
        <is>
          <t>C</t>
        </is>
      </c>
      <c r="Q15" s="7" t="inlineStr"/>
      <c r="R15" s="7" t="inlineStr"/>
      <c r="S15" s="7" t="inlineStr"/>
      <c r="T15" s="7" t="inlineStr"/>
      <c r="U15" s="6" t="inlineStr">
        <is>
          <t>Operations Specialist</t>
        </is>
      </c>
      <c r="V15" s="6" t="inlineStr">
        <is>
          <t>.claude/skills/purchasing-manager/SKILL.md:234,235,238; Alvin, 2026-07-31 (external partners)</t>
        </is>
      </c>
      <c r="W15" s="6" t="inlineStr">
        <is>
          <t>Operator confirms cost_category, regulatory_driver, linked SKU and multi-home routing before any PLM write, and approves the dispute branch. A and R both AB. Ironclad consulted - classified invoices land in their ledger.</t>
        </is>
      </c>
    </row>
    <row r="16">
      <c r="A16" s="5" t="inlineStr">
        <is>
          <t>Operations &amp; Supply Chain</t>
        </is>
      </c>
      <c r="B16" s="6" t="inlineStr">
        <is>
          <t>Inventory position keeping, batch creation on receipt and the location ledger</t>
        </is>
      </c>
      <c r="C16" s="7" t="inlineStr"/>
      <c r="D16" s="7" t="inlineStr"/>
      <c r="E16" s="9" t="inlineStr">
        <is>
          <t>A/R</t>
        </is>
      </c>
      <c r="F16" s="7" t="inlineStr">
        <is>
          <t>I</t>
        </is>
      </c>
      <c r="G16" s="7" t="inlineStr">
        <is>
          <t>-&gt;</t>
        </is>
      </c>
      <c r="H16" s="7" t="inlineStr"/>
      <c r="I16" s="7" t="inlineStr"/>
      <c r="J16" s="7" t="inlineStr"/>
      <c r="K16" s="7" t="inlineStr"/>
      <c r="L16" s="7" t="inlineStr"/>
      <c r="M16" s="7" t="inlineStr"/>
      <c r="N16" s="7" t="inlineStr">
        <is>
          <t>C</t>
        </is>
      </c>
      <c r="O16" s="7" t="inlineStr"/>
      <c r="P16" s="7" t="inlineStr"/>
      <c r="Q16" s="7" t="inlineStr"/>
      <c r="R16" s="7" t="inlineStr"/>
      <c r="S16" s="7" t="inlineStr"/>
      <c r="T16" s="7" t="inlineStr"/>
      <c r="U16" s="6" t="inlineStr">
        <is>
          <t>Operations Specialist</t>
        </is>
      </c>
      <c r="V16" s="6" t="inlineStr">
        <is>
          <t>.claude/skills/inventory-manager/SKILL.md:18,52,60</t>
        </is>
      </c>
      <c r="W16" s="6" t="inlineStr">
        <is>
          <t>Ex-Ops-Coordinator scope. Alvin took inventory under the 2026-07-17 interim split. A and R both AB.</t>
        </is>
      </c>
    </row>
    <row r="17">
      <c r="A17" s="5" t="inlineStr">
        <is>
          <t>Operations &amp; Supply Chain</t>
        </is>
      </c>
      <c r="B17" s="6" t="inlineStr">
        <is>
          <t>Adjustments, write-offs and return dispositions</t>
        </is>
      </c>
      <c r="C17" s="7" t="inlineStr"/>
      <c r="D17" s="7" t="inlineStr"/>
      <c r="E17" s="9" t="inlineStr">
        <is>
          <t>A/R</t>
        </is>
      </c>
      <c r="F17" s="7" t="inlineStr"/>
      <c r="G17" s="7" t="inlineStr">
        <is>
          <t>-&gt;</t>
        </is>
      </c>
      <c r="H17" s="7" t="inlineStr"/>
      <c r="I17" s="7" t="inlineStr"/>
      <c r="J17" s="7" t="inlineStr"/>
      <c r="K17" s="7" t="inlineStr"/>
      <c r="L17" s="7" t="inlineStr"/>
      <c r="M17" s="7" t="inlineStr"/>
      <c r="N17" s="7" t="inlineStr">
        <is>
          <t>C</t>
        </is>
      </c>
      <c r="O17" s="7" t="inlineStr"/>
      <c r="P17" s="7" t="inlineStr"/>
      <c r="Q17" s="7" t="inlineStr"/>
      <c r="R17" s="7" t="inlineStr"/>
      <c r="S17" s="7" t="inlineStr"/>
      <c r="T17" s="7" t="inlineStr"/>
      <c r="U17" s="6" t="inlineStr">
        <is>
          <t>Operations Specialist</t>
        </is>
      </c>
      <c r="V17" s="6" t="inlineStr">
        <is>
          <t>.claude/skills/inventory-manager/SKILL.md:94</t>
        </is>
      </c>
      <c r="W17" s="6" t="inlineStr">
        <is>
          <t>Operations approves. Near-expiry write-offs wait on the quality call first. A and R both AB.</t>
        </is>
      </c>
    </row>
    <row r="18">
      <c r="A18" s="5" t="inlineStr">
        <is>
          <t>Operations &amp; Supply Chain</t>
        </is>
      </c>
      <c r="B18" s="6" t="inlineStr">
        <is>
          <t>S&amp;OP: forecast, inventory targets and buy recommendations</t>
        </is>
      </c>
      <c r="C18" s="7" t="inlineStr"/>
      <c r="D18" s="7" t="inlineStr">
        <is>
          <t>I</t>
        </is>
      </c>
      <c r="E18" s="9" t="inlineStr">
        <is>
          <t>A/R</t>
        </is>
      </c>
      <c r="F18" s="7" t="inlineStr">
        <is>
          <t>C</t>
        </is>
      </c>
      <c r="G18" s="7" t="inlineStr">
        <is>
          <t>-&gt;</t>
        </is>
      </c>
      <c r="H18" s="7" t="inlineStr"/>
      <c r="I18" s="7" t="inlineStr"/>
      <c r="J18" s="7" t="inlineStr"/>
      <c r="K18" s="7" t="inlineStr"/>
      <c r="L18" s="7" t="inlineStr"/>
      <c r="M18" s="7" t="inlineStr"/>
      <c r="N18" s="7" t="inlineStr"/>
      <c r="O18" s="7" t="inlineStr"/>
      <c r="P18" s="7" t="inlineStr"/>
      <c r="Q18" s="7" t="inlineStr"/>
      <c r="R18" s="7" t="inlineStr"/>
      <c r="S18" s="7" t="inlineStr"/>
      <c r="T18" s="7" t="inlineStr"/>
      <c r="U18" s="6" t="inlineStr">
        <is>
          <t>Operations Specialist</t>
        </is>
      </c>
      <c r="V18" s="6" t="inlineStr">
        <is>
          <t>.claude/skills/supply-demand-planner/SKILL.md:30-52; .claude/skills/supply-demand-planner/references/plm-schema-additions.md:139</t>
        </is>
      </c>
      <c r="W18" s="6" t="inlineStr">
        <is>
          <t>Operations approves; plm-assistant executes the SQL. Four intertwined jobs on one person. A and R both AB.</t>
        </is>
      </c>
    </row>
    <row r="19">
      <c r="A19" s="5" t="inlineStr">
        <is>
          <t>Operations &amp; Supply Chain</t>
        </is>
      </c>
      <c r="B19" s="6" t="inlineStr">
        <is>
          <t>Inbound freight, customs, duty and carrier claims</t>
        </is>
      </c>
      <c r="C19" s="7" t="inlineStr"/>
      <c r="D19" s="7" t="inlineStr"/>
      <c r="E19" s="9" t="inlineStr">
        <is>
          <t>A/R</t>
        </is>
      </c>
      <c r="F19" s="7" t="inlineStr"/>
      <c r="G19" s="7" t="inlineStr">
        <is>
          <t>-&gt;</t>
        </is>
      </c>
      <c r="H19" s="7" t="inlineStr"/>
      <c r="I19" s="7" t="inlineStr"/>
      <c r="J19" s="7" t="inlineStr"/>
      <c r="K19" s="7" t="inlineStr"/>
      <c r="L19" s="7" t="inlineStr"/>
      <c r="M19" s="7" t="inlineStr"/>
      <c r="N19" s="7" t="inlineStr">
        <is>
          <t>I</t>
        </is>
      </c>
      <c r="O19" s="7" t="inlineStr"/>
      <c r="P19" s="7" t="inlineStr"/>
      <c r="Q19" s="7" t="inlineStr"/>
      <c r="R19" s="7" t="inlineStr"/>
      <c r="S19" s="7" t="inlineStr"/>
      <c r="T19" s="7" t="inlineStr"/>
      <c r="U19" s="6" t="inlineStr">
        <is>
          <t>Operations Specialist</t>
        </is>
      </c>
      <c r="V19" s="6" t="inlineStr">
        <is>
          <t>.claude/skills/logistics-manager/SKILL.md:59,186; .claude/skills/logistics-manager/forms/international-dtc-shipment.md:11</t>
        </is>
      </c>
      <c r="W19" s="6" t="inlineStr">
        <is>
          <t>Nothing created or updated until Operations signs off. Ex-Ops-Coordinator logistics scope, now Alvin. HCT and Impress origin Asia so customs is routine. A and R both AB.</t>
        </is>
      </c>
    </row>
    <row r="20">
      <c r="A20" s="5" t="inlineStr">
        <is>
          <t>Operations &amp; Supply Chain</t>
        </is>
      </c>
      <c r="B20" s="6" t="inlineStr">
        <is>
          <t>Daily DTC order operations and the Logiwa report parse</t>
        </is>
      </c>
      <c r="C20" s="7" t="inlineStr"/>
      <c r="D20" s="7" t="inlineStr"/>
      <c r="E20" s="7" t="inlineStr">
        <is>
          <t>C</t>
        </is>
      </c>
      <c r="F20" s="9" t="inlineStr">
        <is>
          <t>A/R</t>
        </is>
      </c>
      <c r="G20" s="7" t="inlineStr">
        <is>
          <t>-&gt;</t>
        </is>
      </c>
      <c r="H20" s="7" t="inlineStr"/>
      <c r="I20" s="7" t="inlineStr"/>
      <c r="J20" s="7" t="inlineStr"/>
      <c r="K20" s="7" t="inlineStr"/>
      <c r="L20" s="7" t="inlineStr"/>
      <c r="M20" s="7" t="inlineStr"/>
      <c r="N20" s="7" t="inlineStr"/>
      <c r="O20" s="7" t="inlineStr"/>
      <c r="P20" s="7" t="inlineStr"/>
      <c r="Q20" s="7" t="inlineStr"/>
      <c r="R20" s="7" t="inlineStr"/>
      <c r="S20" s="7" t="inlineStr"/>
      <c r="T20" s="7" t="inlineStr"/>
      <c r="U20" s="6" t="inlineStr">
        <is>
          <t>Operations Specialist</t>
        </is>
      </c>
      <c r="V20" s="6" t="inlineStr">
        <is>
          <t>.claude/skills/ayesha-weekly-briefing/SKILL.md:123; .claude/skills/oc3pl-order-manager/SKILL.md:109,191</t>
        </is>
      </c>
      <c r="W20" s="6" t="inlineStr">
        <is>
          <t>Ex-Ops-Coordinator scope. Nicole covers order management and OC3PL under the 2026-07-17 interim split. A and R both NI.</t>
        </is>
      </c>
    </row>
    <row r="21">
      <c r="A21" s="5" t="inlineStr">
        <is>
          <t>Operations &amp; Supply Chain</t>
        </is>
      </c>
      <c r="B21" s="6" t="inlineStr">
        <is>
          <t>Pre-ship out-of-stock holds from the shortage sheet</t>
        </is>
      </c>
      <c r="C21" s="7" t="inlineStr"/>
      <c r="D21" s="7" t="inlineStr"/>
      <c r="E21" s="8" t="inlineStr">
        <is>
          <t>R</t>
        </is>
      </c>
      <c r="F21" s="9" t="inlineStr">
        <is>
          <t>A</t>
        </is>
      </c>
      <c r="G21" s="7" t="inlineStr">
        <is>
          <t>-&gt;</t>
        </is>
      </c>
      <c r="H21" s="7" t="inlineStr"/>
      <c r="I21" s="7" t="inlineStr"/>
      <c r="J21" s="7" t="inlineStr"/>
      <c r="K21" s="7" t="inlineStr"/>
      <c r="L21" s="7" t="inlineStr"/>
      <c r="M21" s="7" t="inlineStr"/>
      <c r="N21" s="7" t="inlineStr"/>
      <c r="O21" s="7" t="inlineStr"/>
      <c r="P21" s="7" t="inlineStr"/>
      <c r="Q21" s="7" t="inlineStr"/>
      <c r="R21" s="7" t="inlineStr"/>
      <c r="S21" s="7" t="inlineStr"/>
      <c r="T21" s="7" t="inlineStr"/>
      <c r="U21" s="6" t="inlineStr">
        <is>
          <t>Operations Specialist</t>
        </is>
      </c>
      <c r="V21" s="6" t="inlineStr">
        <is>
          <t>.claude/skills/oc3pl-order-manager/SKILL.md:201; .claude/skills/ayesha-weekly-briefing/SKILL.md:123</t>
        </is>
      </c>
      <c r="W21" s="6" t="inlineStr">
        <is>
          <t>Order-side holds sit with Nicole; SKU-level shortage routing belongs to inventory-manager, so Alvin does the work.</t>
        </is>
      </c>
    </row>
    <row r="22">
      <c r="A22" s="5" t="inlineStr">
        <is>
          <t>Operations &amp; Supply Chain</t>
        </is>
      </c>
      <c r="B22" s="6" t="inlineStr">
        <is>
          <t>Retailer ASN / EDI 856 and routing-guide compliance (Ulta DC, Amazon Vendor)</t>
        </is>
      </c>
      <c r="C22" s="7" t="inlineStr"/>
      <c r="D22" s="7" t="inlineStr">
        <is>
          <t>I</t>
        </is>
      </c>
      <c r="E22" s="8" t="inlineStr">
        <is>
          <t>R</t>
        </is>
      </c>
      <c r="F22" s="9" t="inlineStr">
        <is>
          <t>A</t>
        </is>
      </c>
      <c r="G22" s="7" t="inlineStr">
        <is>
          <t>-&gt;</t>
        </is>
      </c>
      <c r="H22" s="7" t="inlineStr"/>
      <c r="I22" s="7" t="inlineStr"/>
      <c r="J22" s="7" t="inlineStr"/>
      <c r="K22" s="7" t="inlineStr"/>
      <c r="L22" s="7" t="inlineStr"/>
      <c r="M22" s="7" t="inlineStr"/>
      <c r="N22" s="7" t="inlineStr"/>
      <c r="O22" s="7" t="inlineStr"/>
      <c r="P22" s="7" t="inlineStr"/>
      <c r="Q22" s="7" t="inlineStr"/>
      <c r="R22" s="7" t="inlineStr"/>
      <c r="S22" s="7" t="inlineStr"/>
      <c r="T22" s="7" t="inlineStr"/>
      <c r="U22" s="6" t="inlineStr">
        <is>
          <t>Operations Specialist</t>
        </is>
      </c>
      <c r="V22" s="6" t="inlineStr">
        <is>
          <t>.claude/skills/logistics-manager/SKILL.md:80; .claude/skills/purchasing-manager/SKILL.md:55</t>
        </is>
      </c>
      <c r="W22" s="6" t="inlineStr">
        <is>
          <t>Operations or Order Ops reviews. UBM launch June 2026 is the deadline driver on this lane.</t>
        </is>
      </c>
    </row>
    <row r="23">
      <c r="A23" s="5" t="inlineStr">
        <is>
          <t>Operations &amp; Supply Chain</t>
        </is>
      </c>
      <c r="B23" s="6" t="inlineStr">
        <is>
          <t>Production scheduling with manufacturing partners</t>
        </is>
      </c>
      <c r="C23" s="7" t="inlineStr"/>
      <c r="D23" s="7" t="inlineStr"/>
      <c r="E23" s="9" t="inlineStr">
        <is>
          <t>A/R</t>
        </is>
      </c>
      <c r="F23" s="7" t="inlineStr">
        <is>
          <t>C</t>
        </is>
      </c>
      <c r="G23" s="7" t="inlineStr">
        <is>
          <t>-&gt;</t>
        </is>
      </c>
      <c r="H23" s="7" t="inlineStr"/>
      <c r="I23" s="7" t="inlineStr"/>
      <c r="J23" s="7" t="inlineStr"/>
      <c r="K23" s="7" t="inlineStr"/>
      <c r="L23" s="7" t="inlineStr"/>
      <c r="M23" s="7" t="inlineStr"/>
      <c r="N23" s="7" t="inlineStr">
        <is>
          <t>C</t>
        </is>
      </c>
      <c r="O23" s="7" t="inlineStr"/>
      <c r="P23" s="7" t="inlineStr"/>
      <c r="Q23" s="7" t="inlineStr"/>
      <c r="R23" s="7" t="inlineStr"/>
      <c r="S23" s="7" t="inlineStr"/>
      <c r="T23" s="7" t="inlineStr"/>
      <c r="U23" s="6" t="inlineStr">
        <is>
          <t>Operations Specialist</t>
        </is>
      </c>
      <c r="V23" s="6" t="inlineStr">
        <is>
          <t>SharePoint: Sweet July Skin - Operations Specialist - Job Description.docx; Leadership Business Review 2026-07-30 35:18</t>
        </is>
      </c>
      <c r="W23" s="6" t="inlineStr">
        <is>
          <t>Named in the Ops Specialist JD under Planning &amp; Special Projects. Today Alvin coordinates KDC scheduling directly. A and R both AB until the seat is filled.</t>
        </is>
      </c>
    </row>
    <row r="24">
      <c r="A24" s="5" t="inlineStr">
        <is>
          <t>Quality</t>
        </is>
      </c>
      <c r="B24" s="6" t="inlineStr">
        <is>
          <t>Customer complaint intake, classification and first response</t>
        </is>
      </c>
      <c r="C24" s="7" t="inlineStr"/>
      <c r="D24" s="7" t="inlineStr"/>
      <c r="E24" s="8" t="inlineStr">
        <is>
          <t>R</t>
        </is>
      </c>
      <c r="F24" s="9" t="inlineStr">
        <is>
          <t>A</t>
        </is>
      </c>
      <c r="G24" s="7" t="inlineStr"/>
      <c r="H24" s="7" t="inlineStr">
        <is>
          <t>-&gt;</t>
        </is>
      </c>
      <c r="I24" s="7" t="inlineStr"/>
      <c r="J24" s="7" t="inlineStr"/>
      <c r="K24" s="7" t="inlineStr"/>
      <c r="L24" s="7" t="inlineStr"/>
      <c r="M24" s="7" t="inlineStr"/>
      <c r="N24" s="7" t="inlineStr">
        <is>
          <t>C</t>
        </is>
      </c>
      <c r="O24" s="7" t="inlineStr"/>
      <c r="P24" s="7" t="inlineStr"/>
      <c r="Q24" s="7" t="inlineStr"/>
      <c r="R24" s="7" t="inlineStr"/>
      <c r="S24" s="7" t="inlineStr"/>
      <c r="T24" s="7" t="inlineStr"/>
      <c r="U24" s="6" t="inlineStr">
        <is>
          <t>Product Development Specialist</t>
        </is>
      </c>
      <c r="V24" s="6" t="inlineStr">
        <is>
          <t>.claude/skills/complaint-and-event-handler/SKILL.md:20,53</t>
        </is>
      </c>
      <c r="W24" s="6" t="inlineStr">
        <is>
          <t>HITL on every write. Operator approves classification plus first response. A and R both AB. Gate moved to Nicole as the final quality check per Leadership Business Review 2026-07-30 25:18-26:01.</t>
        </is>
      </c>
    </row>
    <row r="25">
      <c r="A25" s="5" t="inlineStr">
        <is>
          <t>Quality</t>
        </is>
      </c>
      <c r="B25" s="6" t="inlineStr">
        <is>
          <t>Complaint trend analysis by SKU and batch</t>
        </is>
      </c>
      <c r="C25" s="7" t="inlineStr"/>
      <c r="D25" s="7" t="inlineStr"/>
      <c r="E25" s="8" t="inlineStr">
        <is>
          <t>R</t>
        </is>
      </c>
      <c r="F25" s="9" t="inlineStr">
        <is>
          <t>A</t>
        </is>
      </c>
      <c r="G25" s="7" t="inlineStr"/>
      <c r="H25" s="7" t="inlineStr">
        <is>
          <t>-&gt;</t>
        </is>
      </c>
      <c r="I25" s="7" t="inlineStr"/>
      <c r="J25" s="7" t="inlineStr"/>
      <c r="K25" s="7" t="inlineStr"/>
      <c r="L25" s="7" t="inlineStr"/>
      <c r="M25" s="7" t="inlineStr"/>
      <c r="N25" s="7" t="inlineStr">
        <is>
          <t>C</t>
        </is>
      </c>
      <c r="O25" s="7" t="inlineStr"/>
      <c r="P25" s="7" t="inlineStr"/>
      <c r="Q25" s="7" t="inlineStr"/>
      <c r="R25" s="7" t="inlineStr"/>
      <c r="S25" s="7" t="inlineStr"/>
      <c r="T25" s="7" t="inlineStr"/>
      <c r="U25" s="6" t="inlineStr">
        <is>
          <t>Product Development Specialist</t>
        </is>
      </c>
      <c r="V25" s="6" t="inlineStr">
        <is>
          <t>.claude/skills/quality-manager/references/role-map.md:15</t>
        </is>
      </c>
      <c r="W25" s="6" t="inlineStr">
        <is>
          <t>Voice of Customer holds gates on complaint classification and complaint-driven escalations. Nicole already held this gate; monthly trend review formalizes it per Leadership Business Review 2026-07-30 26:02-26:17.</t>
        </is>
      </c>
    </row>
    <row r="26">
      <c r="A26" s="5" t="inlineStr">
        <is>
          <t>Quality</t>
        </is>
      </c>
      <c r="B26" s="6" t="inlineStr">
        <is>
          <t>NCR and CAPA lifecycle, intake through close (SKN-OPS-001)</t>
        </is>
      </c>
      <c r="C26" s="7" t="inlineStr"/>
      <c r="D26" s="7" t="inlineStr">
        <is>
          <t>I</t>
        </is>
      </c>
      <c r="E26" s="8" t="inlineStr">
        <is>
          <t>R</t>
        </is>
      </c>
      <c r="F26" s="9" t="inlineStr">
        <is>
          <t>A</t>
        </is>
      </c>
      <c r="G26" s="7" t="inlineStr"/>
      <c r="H26" s="7" t="inlineStr">
        <is>
          <t>-&gt;</t>
        </is>
      </c>
      <c r="I26" s="7" t="inlineStr"/>
      <c r="J26" s="7" t="inlineStr"/>
      <c r="K26" s="7" t="inlineStr"/>
      <c r="L26" s="7" t="inlineStr"/>
      <c r="M26" s="7" t="inlineStr"/>
      <c r="N26" s="7" t="inlineStr">
        <is>
          <t>C</t>
        </is>
      </c>
      <c r="O26" s="7" t="inlineStr"/>
      <c r="P26" s="7" t="inlineStr"/>
      <c r="Q26" s="7" t="inlineStr"/>
      <c r="R26" s="7" t="inlineStr"/>
      <c r="S26" s="7" t="inlineStr"/>
      <c r="T26" s="7" t="inlineStr"/>
      <c r="U26" s="6" t="inlineStr">
        <is>
          <t>Product Development Specialist</t>
        </is>
      </c>
      <c r="V26" s="6" t="inlineStr">
        <is>
          <t>.claude/skills/capa-coordinator/SKILL.md:54,136; .claude/skills/capa-coordinator/references/ncr-procedure.md:135; .claude/skills/capa-coordinator/references/skn-ops-001.md:64,102</t>
        </is>
      </c>
      <c r="W26" s="6" t="inlineStr">
        <is>
          <t>Operator approves intake and both action plans; QA Lead approves conversion, root cause, verification, effectiveness and close. Six SOP phases, one external contractor on every technical gate. A moved from Perrine to Nicole per Leadership Business Review 2026-07-30 25:18-25:50. Perrine consults on technical root cause.</t>
        </is>
      </c>
    </row>
    <row r="27">
      <c r="A27" s="5" t="inlineStr">
        <is>
          <t>Quality</t>
        </is>
      </c>
      <c r="B27" s="6" t="inlineStr">
        <is>
          <t>Lab finding intake and OOS / OOT classification (SKN-OPS-006)</t>
        </is>
      </c>
      <c r="C27" s="7" t="inlineStr"/>
      <c r="D27" s="7" t="inlineStr"/>
      <c r="E27" s="8" t="inlineStr">
        <is>
          <t>R</t>
        </is>
      </c>
      <c r="F27" s="9" t="inlineStr">
        <is>
          <t>A</t>
        </is>
      </c>
      <c r="G27" s="7" t="inlineStr"/>
      <c r="H27" s="7" t="inlineStr">
        <is>
          <t>-&gt;</t>
        </is>
      </c>
      <c r="I27" s="7" t="inlineStr"/>
      <c r="J27" s="7" t="inlineStr"/>
      <c r="K27" s="7" t="inlineStr"/>
      <c r="L27" s="7" t="inlineStr"/>
      <c r="M27" s="7" t="inlineStr"/>
      <c r="N27" s="7" t="inlineStr">
        <is>
          <t>C</t>
        </is>
      </c>
      <c r="O27" s="7" t="inlineStr"/>
      <c r="P27" s="7" t="inlineStr"/>
      <c r="Q27" s="7" t="inlineStr"/>
      <c r="R27" s="7" t="inlineStr"/>
      <c r="S27" s="7" t="inlineStr"/>
      <c r="T27" s="7" t="inlineStr"/>
      <c r="U27" s="6" t="inlineStr">
        <is>
          <t>Product Development Specialist</t>
        </is>
      </c>
      <c r="V27" s="6" t="inlineStr">
        <is>
          <t>.claude/skills/quality-lab-coordinator/SKILL.md:48,56</t>
        </is>
      </c>
      <c r="W27" s="6" t="inlineStr">
        <is>
          <t>Operator approves intake and the single-versus-systemic classification. A and R both AB. Gate moved to Nicole per Leadership Business Review 2026-07-30 25:35-25:50. Perrine consults on the technical call.</t>
        </is>
      </c>
    </row>
    <row r="28">
      <c r="A28" s="5" t="inlineStr">
        <is>
          <t>Quality</t>
        </is>
      </c>
      <c r="B28" s="6" t="inlineStr">
        <is>
          <t>Vendor quality flag and scorecard signal back to Purchasing</t>
        </is>
      </c>
      <c r="C28" s="7" t="inlineStr"/>
      <c r="D28" s="7" t="inlineStr"/>
      <c r="E28" s="8" t="inlineStr">
        <is>
          <t>R</t>
        </is>
      </c>
      <c r="F28" s="9" t="inlineStr">
        <is>
          <t>A</t>
        </is>
      </c>
      <c r="G28" s="7" t="inlineStr"/>
      <c r="H28" s="7" t="inlineStr">
        <is>
          <t>-&gt;</t>
        </is>
      </c>
      <c r="I28" s="7" t="inlineStr"/>
      <c r="J28" s="7" t="inlineStr"/>
      <c r="K28" s="7" t="inlineStr"/>
      <c r="L28" s="7" t="inlineStr"/>
      <c r="M28" s="7" t="inlineStr"/>
      <c r="N28" s="7" t="inlineStr">
        <is>
          <t>C</t>
        </is>
      </c>
      <c r="O28" s="7" t="inlineStr"/>
      <c r="P28" s="7" t="inlineStr"/>
      <c r="Q28" s="7" t="inlineStr"/>
      <c r="R28" s="7" t="inlineStr"/>
      <c r="S28" s="7" t="inlineStr"/>
      <c r="T28" s="7" t="inlineStr"/>
      <c r="U28" s="6" t="inlineStr">
        <is>
          <t>Product Development Specialist</t>
        </is>
      </c>
      <c r="V28" s="6" t="inlineStr">
        <is>
          <t>.claude/skills/quality-lab-coordinator/SKILL.md:76; .claude/skills/quality-lab-coordinator/references/vendor-scorecard-signal.md:103</t>
        </is>
      </c>
      <c r="W28" s="6" t="inlineStr">
        <is>
          <t>QA Lead approves any vendor flag and the scorecard band. Operator can stage but not commit. A moved from Perrine to Nicole per Leadership Business Review 2026-07-30 25:18-25:50. Perrine consults.</t>
        </is>
      </c>
    </row>
    <row r="29">
      <c r="A29" s="5" t="inlineStr">
        <is>
          <t>Quality</t>
        </is>
      </c>
      <c r="B29" s="6" t="inlineStr">
        <is>
          <t>Batch hold and release (SKN-OPS-007)</t>
        </is>
      </c>
      <c r="C29" s="7" t="inlineStr"/>
      <c r="D29" s="7" t="inlineStr">
        <is>
          <t>I</t>
        </is>
      </c>
      <c r="E29" s="8" t="inlineStr">
        <is>
          <t>R</t>
        </is>
      </c>
      <c r="F29" s="9" t="inlineStr">
        <is>
          <t>A</t>
        </is>
      </c>
      <c r="G29" s="7" t="inlineStr"/>
      <c r="H29" s="7" t="inlineStr">
        <is>
          <t>-&gt;</t>
        </is>
      </c>
      <c r="I29" s="7" t="inlineStr"/>
      <c r="J29" s="7" t="inlineStr"/>
      <c r="K29" s="7" t="inlineStr"/>
      <c r="L29" s="7" t="inlineStr"/>
      <c r="M29" s="7" t="inlineStr"/>
      <c r="N29" s="7" t="inlineStr">
        <is>
          <t>C</t>
        </is>
      </c>
      <c r="O29" s="7" t="inlineStr"/>
      <c r="P29" s="7" t="inlineStr"/>
      <c r="Q29" s="7" t="inlineStr"/>
      <c r="R29" s="7" t="inlineStr"/>
      <c r="S29" s="7" t="inlineStr"/>
      <c r="T29" s="7" t="inlineStr"/>
      <c r="U29" s="6" t="inlineStr">
        <is>
          <t>Product Development Specialist</t>
        </is>
      </c>
      <c r="V29" s="6" t="inlineStr">
        <is>
          <t>.claude/skills/batch-lifecycle-tracker/references/batch-lifecycle-procedure.md:208; .claude/skills/batch-lifecycle-tracker/SKILL.md:86</t>
        </is>
      </c>
      <c r="W29" s="6" t="inlineStr">
        <is>
          <t>QA Lead approves every hold and every release. No exceptions at v5.4. Releases need a CAPA close or clean retest plus QA Lead judgment. A moved from Perrine to Nicole per Leadership Business Review 2026-07-30 25:35-26:01. Perrine consults on the technical basis.</t>
        </is>
      </c>
    </row>
    <row r="30">
      <c r="A30" s="5" t="inlineStr">
        <is>
          <t>Quality</t>
        </is>
      </c>
      <c r="B30" s="6" t="inlineStr">
        <is>
          <t>In-market stability testing decisions (PET, accelerated, real-time)</t>
        </is>
      </c>
      <c r="C30" s="7" t="inlineStr"/>
      <c r="D30" s="7" t="inlineStr"/>
      <c r="E30" s="8" t="inlineStr">
        <is>
          <t>R</t>
        </is>
      </c>
      <c r="F30" s="7" t="inlineStr">
        <is>
          <t>C</t>
        </is>
      </c>
      <c r="G30" s="7" t="inlineStr"/>
      <c r="H30" s="7" t="inlineStr">
        <is>
          <t>-&gt;</t>
        </is>
      </c>
      <c r="I30" s="7" t="inlineStr"/>
      <c r="J30" s="7" t="inlineStr"/>
      <c r="K30" s="7" t="inlineStr"/>
      <c r="L30" s="7" t="inlineStr"/>
      <c r="M30" s="7" t="inlineStr"/>
      <c r="N30" s="9" t="inlineStr">
        <is>
          <t>A</t>
        </is>
      </c>
      <c r="O30" s="7" t="inlineStr"/>
      <c r="P30" s="7" t="inlineStr"/>
      <c r="Q30" s="7" t="inlineStr"/>
      <c r="R30" s="7" t="inlineStr"/>
      <c r="S30" s="7" t="inlineStr"/>
      <c r="T30" s="7" t="inlineStr"/>
      <c r="U30" s="6" t="inlineStr">
        <is>
          <t>Product Development Specialist</t>
        </is>
      </c>
      <c r="V30" s="6" t="inlineStr">
        <is>
          <t>.claude/skills/batch-lifecycle-tracker/SKILL.md:71,94</t>
        </is>
      </c>
      <c r="W30" s="6" t="inlineStr">
        <is>
          <t>Technical testing call stays with Perrine as the R&amp;D and quality technical advisor. Operator approves schedule edits. Per Leadership Business Review 2026-07-30 25:18-25:35 the process gate moved to Nicole but the technical judgment did not.</t>
        </is>
      </c>
    </row>
    <row r="31">
      <c r="A31" s="5" t="inlineStr">
        <is>
          <t>Quality</t>
        </is>
      </c>
      <c r="B31" s="6" t="inlineStr">
        <is>
          <t>Near-expiry batch disposition at the 30-day threshold</t>
        </is>
      </c>
      <c r="C31" s="7" t="inlineStr"/>
      <c r="D31" s="7" t="inlineStr"/>
      <c r="E31" s="8" t="inlineStr">
        <is>
          <t>R</t>
        </is>
      </c>
      <c r="F31" s="9" t="inlineStr">
        <is>
          <t>A</t>
        </is>
      </c>
      <c r="G31" s="7" t="inlineStr"/>
      <c r="H31" s="7" t="inlineStr">
        <is>
          <t>-&gt;</t>
        </is>
      </c>
      <c r="I31" s="7" t="inlineStr"/>
      <c r="J31" s="7" t="inlineStr"/>
      <c r="K31" s="7" t="inlineStr"/>
      <c r="L31" s="7" t="inlineStr"/>
      <c r="M31" s="7" t="inlineStr"/>
      <c r="N31" s="7" t="inlineStr">
        <is>
          <t>C</t>
        </is>
      </c>
      <c r="O31" s="7" t="inlineStr"/>
      <c r="P31" s="7" t="inlineStr"/>
      <c r="Q31" s="7" t="inlineStr"/>
      <c r="R31" s="7" t="inlineStr"/>
      <c r="S31" s="7" t="inlineStr"/>
      <c r="T31" s="7" t="inlineStr"/>
      <c r="U31" s="6" t="inlineStr">
        <is>
          <t>Product Development Specialist</t>
        </is>
      </c>
      <c r="V31" s="6" t="inlineStr">
        <is>
          <t>.claude/skills/batch-lifecycle-tracker/SKILL.md:71,94</t>
        </is>
      </c>
      <c r="W31" s="6" t="inlineStr">
        <is>
          <t>Disposition is a quality gate, so it moves to Nicole. Posts back to inventory before any write-off.</t>
        </is>
      </c>
    </row>
    <row r="32">
      <c r="A32" s="5" t="inlineStr">
        <is>
          <t>Quality</t>
        </is>
      </c>
      <c r="B32" s="6" t="inlineStr">
        <is>
          <t>Serious adverse event triage and recall kickoff (SKN-OPS-002, SKN-OPS-003)</t>
        </is>
      </c>
      <c r="C32" s="7" t="inlineStr">
        <is>
          <t>I</t>
        </is>
      </c>
      <c r="D32" s="7" t="inlineStr">
        <is>
          <t>I</t>
        </is>
      </c>
      <c r="E32" s="9" t="inlineStr">
        <is>
          <t>A/R</t>
        </is>
      </c>
      <c r="F32" s="7" t="inlineStr">
        <is>
          <t>C</t>
        </is>
      </c>
      <c r="G32" s="7" t="inlineStr"/>
      <c r="H32" s="7" t="inlineStr"/>
      <c r="I32" s="7" t="inlineStr"/>
      <c r="J32" s="7" t="inlineStr"/>
      <c r="K32" s="7" t="inlineStr"/>
      <c r="L32" s="7" t="inlineStr"/>
      <c r="M32" s="7" t="inlineStr"/>
      <c r="N32" s="7" t="inlineStr">
        <is>
          <t>C</t>
        </is>
      </c>
      <c r="O32" s="7" t="inlineStr">
        <is>
          <t>C</t>
        </is>
      </c>
      <c r="P32" s="7" t="inlineStr"/>
      <c r="Q32" s="7" t="inlineStr"/>
      <c r="R32" s="7" t="inlineStr"/>
      <c r="S32" s="7" t="inlineStr"/>
      <c r="T32" s="7" t="inlineStr"/>
      <c r="U32" s="6" t="inlineStr"/>
      <c r="V32" s="6" t="inlineStr">
        <is>
          <t>.claude/skills/complaint-and-event-handler/SKILL.md:85,89,95; .claude/skills/regulatory-manager/references/pedrero-contacts.md:9,13,21</t>
        </is>
      </c>
      <c r="W32" s="6" t="inlineStr">
        <is>
          <t>The strictest gate in the suite: explicit approval at every step, §4.A through §4.F each a separate gate. Operator decides severity, team and whether external reporting is needed. A and R both AB. Stays with Alvin as Reg Lead, given the legal and agency exposure. Nicole consults. Pedrero Regulatory holds the binding external review; consult-only internally, with no Asana access and no internal authority, so the Reg Lead gate stays in-house.</t>
        </is>
      </c>
    </row>
    <row r="33">
      <c r="A33" s="5" t="inlineStr">
        <is>
          <t>Quality</t>
        </is>
      </c>
      <c r="B33" s="6" t="inlineStr">
        <is>
          <t>SOP ratification, annual review and cross-cutting quality tasks</t>
        </is>
      </c>
      <c r="C33" s="7" t="inlineStr"/>
      <c r="D33" s="7" t="inlineStr"/>
      <c r="E33" s="8" t="inlineStr">
        <is>
          <t>R</t>
        </is>
      </c>
      <c r="F33" s="9" t="inlineStr">
        <is>
          <t>A</t>
        </is>
      </c>
      <c r="G33" s="7" t="inlineStr"/>
      <c r="H33" s="7" t="inlineStr"/>
      <c r="I33" s="7" t="inlineStr"/>
      <c r="J33" s="7" t="inlineStr"/>
      <c r="K33" s="7" t="inlineStr"/>
      <c r="L33" s="7" t="inlineStr"/>
      <c r="M33" s="7" t="inlineStr"/>
      <c r="N33" s="7" t="inlineStr">
        <is>
          <t>C</t>
        </is>
      </c>
      <c r="O33" s="7" t="inlineStr"/>
      <c r="P33" s="7" t="inlineStr"/>
      <c r="Q33" s="7" t="inlineStr"/>
      <c r="R33" s="7" t="inlineStr"/>
      <c r="S33" s="7" t="inlineStr"/>
      <c r="T33" s="7" t="inlineStr"/>
      <c r="U33" s="6" t="inlineStr"/>
      <c r="V33" s="6" t="inlineStr">
        <is>
          <t>.claude/skills/quality-manager/SKILL.md:66,135; .claude/skills/quality-manager/references/sop-catalog.md:120; .claude/skills/quality-manager/references/qos-thresholds.md:52</t>
        </is>
      </c>
      <c r="W33" s="6" t="inlineStr">
        <is>
          <t>QA Lead approves every ratification, review outcome, cross-cutting task and QoS threshold task. SOP §7 names a QA Manager for this; that seat is vacant and Perrine is filling it. Gate moved to Nicole per Leadership Business Review 2026-07-30 25:18-25:50.</t>
        </is>
      </c>
    </row>
    <row r="34">
      <c r="A34" s="5" t="inlineStr">
        <is>
          <t>Quality</t>
        </is>
      </c>
      <c r="B34" s="6" t="inlineStr">
        <is>
          <t>Quality dashboard publish to the landing hub</t>
        </is>
      </c>
      <c r="C34" s="7" t="inlineStr"/>
      <c r="D34" s="7" t="inlineStr"/>
      <c r="E34" s="8" t="inlineStr">
        <is>
          <t>R</t>
        </is>
      </c>
      <c r="F34" s="9" t="inlineStr">
        <is>
          <t>A</t>
        </is>
      </c>
      <c r="G34" s="7" t="inlineStr"/>
      <c r="H34" s="7" t="inlineStr">
        <is>
          <t>-&gt;</t>
        </is>
      </c>
      <c r="I34" s="7" t="inlineStr"/>
      <c r="J34" s="7" t="inlineStr"/>
      <c r="K34" s="7" t="inlineStr"/>
      <c r="L34" s="7" t="inlineStr"/>
      <c r="M34" s="7" t="inlineStr"/>
      <c r="N34" s="7" t="inlineStr">
        <is>
          <t>C</t>
        </is>
      </c>
      <c r="O34" s="7" t="inlineStr"/>
      <c r="P34" s="7" t="inlineStr"/>
      <c r="Q34" s="7" t="inlineStr"/>
      <c r="R34" s="7" t="inlineStr"/>
      <c r="S34" s="7" t="inlineStr"/>
      <c r="T34" s="7" t="inlineStr"/>
      <c r="U34" s="6" t="inlineStr">
        <is>
          <t>Product Development Specialist</t>
        </is>
      </c>
      <c r="V34" s="6" t="inlineStr">
        <is>
          <t>.claude/skills/quality-status-reporter/SKILL.md:78</t>
        </is>
      </c>
      <c r="W34" s="6" t="inlineStr">
        <is>
          <t>Operator approves the commit before push. Never commit without confirmation. A and R both AB. Nicole gates the content; Alvin retains the publish mechanics. Per Leadership Business Review 2026-07-30 26:02-26:17.</t>
        </is>
      </c>
    </row>
    <row r="35">
      <c r="A35" s="5" t="inlineStr">
        <is>
          <t>Quality</t>
        </is>
      </c>
      <c r="B35" s="6" t="inlineStr">
        <is>
          <t>Final quality check on product and documentation across every function</t>
        </is>
      </c>
      <c r="C35" s="7" t="inlineStr">
        <is>
          <t>I</t>
        </is>
      </c>
      <c r="D35" s="7" t="inlineStr">
        <is>
          <t>I</t>
        </is>
      </c>
      <c r="E35" s="7" t="inlineStr">
        <is>
          <t>C</t>
        </is>
      </c>
      <c r="F35" s="9" t="inlineStr">
        <is>
          <t>A/R</t>
        </is>
      </c>
      <c r="G35" s="7" t="inlineStr"/>
      <c r="H35" s="7" t="inlineStr"/>
      <c r="I35" s="7" t="inlineStr">
        <is>
          <t>C</t>
        </is>
      </c>
      <c r="J35" s="7" t="inlineStr"/>
      <c r="K35" s="7" t="inlineStr">
        <is>
          <t>C</t>
        </is>
      </c>
      <c r="L35" s="7" t="inlineStr"/>
      <c r="M35" s="7" t="inlineStr"/>
      <c r="N35" s="7" t="inlineStr">
        <is>
          <t>C</t>
        </is>
      </c>
      <c r="O35" s="7" t="inlineStr"/>
      <c r="P35" s="7" t="inlineStr"/>
      <c r="Q35" s="7" t="inlineStr"/>
      <c r="R35" s="7" t="inlineStr"/>
      <c r="S35" s="7" t="inlineStr"/>
      <c r="T35" s="7" t="inlineStr"/>
      <c r="U35" s="6" t="inlineStr"/>
      <c r="V35" s="6" t="inlineStr">
        <is>
          <t>Leadership Business Review 2026-07-30 25:35-26:01</t>
        </is>
      </c>
      <c r="W35" s="6" t="inlineStr">
        <is>
          <t>The new cross-function gate. Verbatim: "anything related to quality of service or quality of product will go through Nicole's eyes as sort of that final quality check... Even with each function having or being the primary owner, we'll still have that quality gate." A and R both NI.</t>
        </is>
      </c>
    </row>
    <row r="36">
      <c r="A36" s="5" t="inlineStr">
        <is>
          <t>Quality</t>
        </is>
      </c>
      <c r="B36" s="6" t="inlineStr">
        <is>
          <t>Quality management system framework and monthly quality-trend review</t>
        </is>
      </c>
      <c r="C36" s="7" t="inlineStr"/>
      <c r="D36" s="7" t="inlineStr">
        <is>
          <t>I</t>
        </is>
      </c>
      <c r="E36" s="9" t="inlineStr">
        <is>
          <t>A</t>
        </is>
      </c>
      <c r="F36" s="8" t="inlineStr">
        <is>
          <t>R</t>
        </is>
      </c>
      <c r="G36" s="7" t="inlineStr"/>
      <c r="H36" s="7" t="inlineStr"/>
      <c r="I36" s="7" t="inlineStr"/>
      <c r="J36" s="7" t="inlineStr"/>
      <c r="K36" s="7" t="inlineStr"/>
      <c r="L36" s="7" t="inlineStr"/>
      <c r="M36" s="7" t="inlineStr"/>
      <c r="N36" s="7" t="inlineStr">
        <is>
          <t>C</t>
        </is>
      </c>
      <c r="O36" s="7" t="inlineStr"/>
      <c r="P36" s="7" t="inlineStr"/>
      <c r="Q36" s="7" t="inlineStr"/>
      <c r="R36" s="7" t="inlineStr"/>
      <c r="S36" s="7" t="inlineStr"/>
      <c r="T36" s="7" t="inlineStr"/>
      <c r="U36" s="6" t="inlineStr"/>
      <c r="V36" s="6" t="inlineStr">
        <is>
          <t>Leadership Business Review 2026-07-30 25:18-26:17</t>
        </is>
      </c>
      <c r="W36" s="6" t="inlineStr">
        <is>
          <t>Alvin owns the overall framework; Nicole runs it. Monthly trend review so recurring issues (the pump issue was the worked example) can drive packaging or formula decisions. Target: implemented by end of Q3.</t>
        </is>
      </c>
    </row>
    <row r="37">
      <c r="A37" s="5" t="inlineStr">
        <is>
          <t>Regulatory &amp; Compliance</t>
        </is>
      </c>
      <c r="B37" s="6" t="inlineStr">
        <is>
          <t>Pre-launch ingredient list review gate (SKN-OPS-008)</t>
        </is>
      </c>
      <c r="C37" s="7" t="inlineStr"/>
      <c r="D37" s="7" t="inlineStr"/>
      <c r="E37" s="9" t="inlineStr">
        <is>
          <t>A/R</t>
        </is>
      </c>
      <c r="F37" s="7" t="inlineStr">
        <is>
          <t>I</t>
        </is>
      </c>
      <c r="G37" s="7" t="inlineStr"/>
      <c r="H37" s="7" t="inlineStr">
        <is>
          <t>-&gt;</t>
        </is>
      </c>
      <c r="I37" s="7" t="inlineStr"/>
      <c r="J37" s="7" t="inlineStr"/>
      <c r="K37" s="7" t="inlineStr"/>
      <c r="L37" s="7" t="inlineStr"/>
      <c r="M37" s="7" t="inlineStr"/>
      <c r="N37" s="7" t="inlineStr">
        <is>
          <t>C</t>
        </is>
      </c>
      <c r="O37" s="7" t="inlineStr">
        <is>
          <t>C</t>
        </is>
      </c>
      <c r="P37" s="7" t="inlineStr"/>
      <c r="Q37" s="7" t="inlineStr"/>
      <c r="R37" s="7" t="inlineStr"/>
      <c r="S37" s="7" t="inlineStr"/>
      <c r="T37" s="7" t="inlineStr"/>
      <c r="U37" s="6" t="inlineStr">
        <is>
          <t>Product Development Specialist</t>
        </is>
      </c>
      <c r="V37" s="6" t="inlineStr">
        <is>
          <t>.claude/skills/claims-il-and-label-keeper/SKILL.md:50; .claude/skills/claims-il-and-label-keeper/references/il-claims-label-procedure.md:62; .claude/skills/regulatory-manager/references/pedrero-contacts.md:9,13,21</t>
        </is>
      </c>
      <c r="W37" s="6" t="inlineStr">
        <is>
          <t>Operator approves intake. Reg Lead is the same person at v6.6, so the gate fires twice against one person. Pedrero holds the binding external call. A and R both AB. Pedrero Regulatory holds the binding external review; consult-only internally, with no Asana access and no internal authority, so the Reg Lead gate stays in-house.</t>
        </is>
      </c>
    </row>
    <row r="38">
      <c r="A38" s="5" t="inlineStr">
        <is>
          <t>Regulatory &amp; Compliance</t>
        </is>
      </c>
      <c r="B38" s="6" t="inlineStr">
        <is>
          <t>Pedrero engagement and send approval</t>
        </is>
      </c>
      <c r="C38" s="7" t="inlineStr"/>
      <c r="D38" s="7" t="inlineStr"/>
      <c r="E38" s="9" t="inlineStr">
        <is>
          <t>A/R</t>
        </is>
      </c>
      <c r="F38" s="7" t="inlineStr"/>
      <c r="G38" s="7" t="inlineStr"/>
      <c r="H38" s="7" t="inlineStr"/>
      <c r="I38" s="7" t="inlineStr"/>
      <c r="J38" s="7" t="inlineStr"/>
      <c r="K38" s="7" t="inlineStr"/>
      <c r="L38" s="7" t="inlineStr"/>
      <c r="M38" s="7" t="inlineStr"/>
      <c r="N38" s="7" t="inlineStr">
        <is>
          <t>C</t>
        </is>
      </c>
      <c r="O38" s="7" t="inlineStr">
        <is>
          <t>C</t>
        </is>
      </c>
      <c r="P38" s="7" t="inlineStr"/>
      <c r="Q38" s="7" t="inlineStr"/>
      <c r="R38" s="7" t="inlineStr"/>
      <c r="S38" s="7" t="inlineStr"/>
      <c r="T38" s="7" t="inlineStr"/>
      <c r="U38" s="6" t="inlineStr"/>
      <c r="V38" s="6" t="inlineStr">
        <is>
          <t>.claude/skills/claims-il-and-label-keeper/SKILL.md:60; .claude/skills/regulatory-manager/SKILL.md:140; .claude/skills/regulatory-manager/references/pedrero-contacts.md:9,13,21</t>
        </is>
      </c>
      <c r="W38" s="6" t="inlineStr">
        <is>
          <t>Reg Lead approves every Pedrero send; Operator hits send manually. Both roles are Alvin. A and R both AB. Pedrero Regulatory holds the binding external review; consult-only internally, with no Asana access and no internal authority, so the Reg Lead gate stays in-house.</t>
        </is>
      </c>
    </row>
    <row r="39">
      <c r="A39" s="5" t="inlineStr">
        <is>
          <t>Regulatory &amp; Compliance</t>
        </is>
      </c>
      <c r="B39" s="6" t="inlineStr">
        <is>
          <t>Claim substantiation and new-claim defensibility</t>
        </is>
      </c>
      <c r="C39" s="7" t="inlineStr">
        <is>
          <t>C</t>
        </is>
      </c>
      <c r="D39" s="7" t="inlineStr">
        <is>
          <t>I</t>
        </is>
      </c>
      <c r="E39" s="9" t="inlineStr">
        <is>
          <t>A/R</t>
        </is>
      </c>
      <c r="F39" s="7" t="inlineStr"/>
      <c r="G39" s="7" t="inlineStr"/>
      <c r="H39" s="7" t="inlineStr">
        <is>
          <t>-&gt;</t>
        </is>
      </c>
      <c r="I39" s="7" t="inlineStr">
        <is>
          <t>C</t>
        </is>
      </c>
      <c r="J39" s="7" t="inlineStr"/>
      <c r="K39" s="7" t="inlineStr">
        <is>
          <t>C</t>
        </is>
      </c>
      <c r="L39" s="7" t="inlineStr"/>
      <c r="M39" s="7" t="inlineStr"/>
      <c r="N39" s="7" t="inlineStr">
        <is>
          <t>C</t>
        </is>
      </c>
      <c r="O39" s="7" t="inlineStr">
        <is>
          <t>C</t>
        </is>
      </c>
      <c r="P39" s="7" t="inlineStr"/>
      <c r="Q39" s="7" t="inlineStr"/>
      <c r="R39" s="7" t="inlineStr"/>
      <c r="S39" s="7" t="inlineStr"/>
      <c r="T39" s="7" t="inlineStr"/>
      <c r="U39" s="6" t="inlineStr">
        <is>
          <t>Product Development Specialist</t>
        </is>
      </c>
      <c r="V39" s="6" t="inlineStr">
        <is>
          <t>.claude/skills/claims-il-and-label-keeper/SKILL.md:97; .claude/skills/claims-il-and-label-keeper/references/il-claims-label-procedure.md:29; Alvin, 2026-07-31 (role correction); .claude/skills/regulatory-manager/references/pedrero-contacts.md:9,13,21</t>
        </is>
      </c>
      <c r="W39" s="6" t="inlineStr">
        <is>
          <t>Operator approves the path; Reg Lead approves the Pedrero stage. The procedure exists because new claims from marketing or the founder used to skip Pedrero sign-off. A and R both AB. The procedure exists because new claims from marketing or the founder used to skip Pedrero sign-off, so both are consulted rather than bypassed. Pedrero Regulatory holds the binding external review; consult-only internally, with no Asana access and no internal authority, so the Reg Lead gate stays in-house.</t>
        </is>
      </c>
    </row>
    <row r="40">
      <c r="A40" s="5" t="inlineStr">
        <is>
          <t>Regulatory &amp; Compliance</t>
        </is>
      </c>
      <c r="B40" s="6" t="inlineStr">
        <is>
          <t>Label artwork archive, IL cross-check and label-law checks (Pantone, Canada, Quebec, 19-state toxics)</t>
        </is>
      </c>
      <c r="C40" s="7" t="inlineStr">
        <is>
          <t>C</t>
        </is>
      </c>
      <c r="D40" s="7" t="inlineStr">
        <is>
          <t>I</t>
        </is>
      </c>
      <c r="E40" s="8" t="inlineStr">
        <is>
          <t>R</t>
        </is>
      </c>
      <c r="F40" s="7" t="inlineStr">
        <is>
          <t>C</t>
        </is>
      </c>
      <c r="G40" s="7" t="inlineStr"/>
      <c r="H40" s="7" t="inlineStr"/>
      <c r="I40" s="7" t="inlineStr"/>
      <c r="J40" s="7" t="inlineStr"/>
      <c r="K40" s="9" t="inlineStr">
        <is>
          <t>A</t>
        </is>
      </c>
      <c r="L40" s="7" t="inlineStr"/>
      <c r="M40" s="7" t="inlineStr">
        <is>
          <t>C</t>
        </is>
      </c>
      <c r="N40" s="7" t="inlineStr">
        <is>
          <t>C</t>
        </is>
      </c>
      <c r="O40" s="7" t="inlineStr">
        <is>
          <t>C</t>
        </is>
      </c>
      <c r="P40" s="7" t="inlineStr"/>
      <c r="Q40" s="7" t="inlineStr"/>
      <c r="R40" s="7" t="inlineStr"/>
      <c r="S40" s="7" t="inlineStr"/>
      <c r="T40" s="7" t="inlineStr"/>
      <c r="U40" s="6" t="inlineStr"/>
      <c r="V40" s="6" t="inlineStr">
        <is>
          <t>.claude/skills/claims-il-and-label-keeper/SKILL.md:85; .claude/skills/claims-il-and-label-keeper/references/il-claims-label-procedure.md:93; Alvin, 2026-07-31 (role correction); .claude/skills/regulatory-manager/references/pedrero-contacts.md:9,13,21</t>
        </is>
      </c>
      <c r="W40" s="6" t="inlineStr">
        <is>
          <t>Operator approves each pass outcome; Reg Lead approves any archive entry. Creative produces the artwork under review. Erin answers for the artwork being right as lead technical authority. Alvin runs the IL cross-check and the label-law passes and holds the Reg Lead gate on archive entries, so the regulatory approval and the artwork authority are separate people. Pedrero Regulatory holds the binding external review; consult-only internally, with no Asana access and no internal authority, so the Reg Lead gate stays in-house.</t>
        </is>
      </c>
    </row>
    <row r="41">
      <c r="A41" s="5" t="inlineStr">
        <is>
          <t>Regulatory &amp; Compliance</t>
        </is>
      </c>
      <c r="B41" s="6" t="inlineStr">
        <is>
          <t>Reformulation claim bridge when a SKU reformulates without QIL parity</t>
        </is>
      </c>
      <c r="C41" s="7" t="inlineStr"/>
      <c r="D41" s="7" t="inlineStr"/>
      <c r="E41" s="9" t="inlineStr">
        <is>
          <t>A</t>
        </is>
      </c>
      <c r="F41" s="7" t="inlineStr">
        <is>
          <t>C</t>
        </is>
      </c>
      <c r="G41" s="7" t="inlineStr"/>
      <c r="H41" s="7" t="inlineStr"/>
      <c r="I41" s="7" t="inlineStr"/>
      <c r="J41" s="7" t="inlineStr"/>
      <c r="K41" s="7" t="inlineStr"/>
      <c r="L41" s="7" t="inlineStr"/>
      <c r="M41" s="7" t="inlineStr"/>
      <c r="N41" s="8" t="inlineStr">
        <is>
          <t>R</t>
        </is>
      </c>
      <c r="O41" s="7" t="inlineStr">
        <is>
          <t>C</t>
        </is>
      </c>
      <c r="P41" s="7" t="inlineStr"/>
      <c r="Q41" s="7" t="inlineStr"/>
      <c r="R41" s="7" t="inlineStr"/>
      <c r="S41" s="7" t="inlineStr"/>
      <c r="T41" s="7" t="inlineStr"/>
      <c r="U41" s="6" t="inlineStr"/>
      <c r="V41" s="6" t="inlineStr">
        <is>
          <t>.claude/skills/claims-il-and-label-keeper/references/il-claims-label-procedure.md:281; .claude/skills/regulatory-manager/references/pedrero-contacts.md:9,13,21</t>
        </is>
      </c>
      <c r="W41" s="6" t="inlineStr">
        <is>
          <t>Reg Lead approves the QIL recovery ask to the prior manufacturer; PD Lead does the formulation work. Pedrero Regulatory holds the binding external review; consult-only internally, with no Asana access and no internal authority, so the Reg Lead gate stays in-house.</t>
        </is>
      </c>
    </row>
    <row r="42">
      <c r="A42" s="5" t="inlineStr">
        <is>
          <t>Regulatory &amp; Compliance</t>
        </is>
      </c>
      <c r="B42" s="6" t="inlineStr">
        <is>
          <t>Retailer attestation responses (Sephora, Ulta, Whole Foods, Credo)</t>
        </is>
      </c>
      <c r="C42" s="7" t="inlineStr">
        <is>
          <t>C</t>
        </is>
      </c>
      <c r="D42" s="7" t="inlineStr">
        <is>
          <t>I</t>
        </is>
      </c>
      <c r="E42" s="9" t="inlineStr">
        <is>
          <t>A/R</t>
        </is>
      </c>
      <c r="F42" s="7" t="inlineStr">
        <is>
          <t>C</t>
        </is>
      </c>
      <c r="G42" s="7" t="inlineStr"/>
      <c r="H42" s="7" t="inlineStr">
        <is>
          <t>-&gt;</t>
        </is>
      </c>
      <c r="I42" s="7" t="inlineStr"/>
      <c r="J42" s="7" t="inlineStr"/>
      <c r="K42" s="7" t="inlineStr"/>
      <c r="L42" s="7" t="inlineStr"/>
      <c r="M42" s="7" t="inlineStr"/>
      <c r="N42" s="7" t="inlineStr">
        <is>
          <t>C</t>
        </is>
      </c>
      <c r="O42" s="7" t="inlineStr">
        <is>
          <t>C</t>
        </is>
      </c>
      <c r="P42" s="7" t="inlineStr"/>
      <c r="Q42" s="7" t="inlineStr"/>
      <c r="R42" s="7" t="inlineStr"/>
      <c r="S42" s="7" t="inlineStr"/>
      <c r="T42" s="7" t="inlineStr"/>
      <c r="U42" s="6" t="inlineStr">
        <is>
          <t>Product Development Specialist</t>
        </is>
      </c>
      <c r="V42" s="6" t="inlineStr">
        <is>
          <t>.claude/skills/claims-il-and-label-keeper/SKILL.md:105; .claude/skills/regulatory-manager/SKILL.md:122; Alvin, 2026-07-31 (role correction); .claude/skills/regulatory-manager/references/pedrero-contacts.md:9,13,21</t>
        </is>
      </c>
      <c r="W42" s="6" t="inlineStr">
        <is>
          <t>Reg Lead approves the retailer submission after Pedrero approval. Voice of Customer consults where customer-perceived attributes matter. A and R both AB. Ayesha consulted - retailer clean-standard positioning is a brand claim. Pedrero Regulatory holds the binding external review; consult-only internally, with no Asana access and no internal authority, so the Reg Lead gate stays in-house.</t>
        </is>
      </c>
    </row>
    <row r="43">
      <c r="A43" s="5" t="inlineStr">
        <is>
          <t>Regulatory &amp; Compliance</t>
        </is>
      </c>
      <c r="B43" s="6" t="inlineStr">
        <is>
          <t>MoCRA registrations, state filings and Leaping Bunny renewal</t>
        </is>
      </c>
      <c r="C43" s="7" t="inlineStr"/>
      <c r="D43" s="7" t="inlineStr"/>
      <c r="E43" s="9" t="inlineStr">
        <is>
          <t>A/R</t>
        </is>
      </c>
      <c r="F43" s="7" t="inlineStr"/>
      <c r="G43" s="7" t="inlineStr"/>
      <c r="H43" s="7" t="inlineStr">
        <is>
          <t>-&gt;</t>
        </is>
      </c>
      <c r="I43" s="7" t="inlineStr">
        <is>
          <t>I</t>
        </is>
      </c>
      <c r="J43" s="7" t="inlineStr"/>
      <c r="K43" s="7" t="inlineStr"/>
      <c r="L43" s="7" t="inlineStr"/>
      <c r="M43" s="7" t="inlineStr"/>
      <c r="N43" s="7" t="inlineStr">
        <is>
          <t>I</t>
        </is>
      </c>
      <c r="O43" s="7" t="inlineStr">
        <is>
          <t>C</t>
        </is>
      </c>
      <c r="P43" s="7" t="inlineStr"/>
      <c r="Q43" s="7" t="inlineStr"/>
      <c r="R43" s="7" t="inlineStr"/>
      <c r="S43" s="7" t="inlineStr"/>
      <c r="T43" s="7" t="inlineStr"/>
      <c r="U43" s="6" t="inlineStr">
        <is>
          <t>Product Development Specialist</t>
        </is>
      </c>
      <c r="V43" s="6" t="inlineStr">
        <is>
          <t>.claude/skills/regulatory-manager/SKILL.md:114,367; .claude/skills/regulatory-manager/references/pedrero-contacts.md:9,13,21</t>
        </is>
      </c>
      <c r="W43" s="6" t="inlineStr">
        <is>
          <t>Operator approves the filing draft; Reg Lead approves every registration record write. Both roles are Alvin. A and R both AB. Pedrero Regulatory holds the binding external review; consult-only internally, with no Asana access and no internal authority, so the Reg Lead gate stays in-house.</t>
        </is>
      </c>
    </row>
    <row r="44">
      <c r="A44" s="5" t="inlineStr">
        <is>
          <t>Regulatory &amp; Compliance</t>
        </is>
      </c>
      <c r="B44" s="6" t="inlineStr">
        <is>
          <t>SAE and recall agency filings, including the 15-day MoCRA clock (SKN-OPS-009)</t>
        </is>
      </c>
      <c r="C44" s="7" t="inlineStr">
        <is>
          <t>I</t>
        </is>
      </c>
      <c r="D44" s="7" t="inlineStr">
        <is>
          <t>I</t>
        </is>
      </c>
      <c r="E44" s="9" t="inlineStr">
        <is>
          <t>A/R</t>
        </is>
      </c>
      <c r="F44" s="7" t="inlineStr">
        <is>
          <t>C</t>
        </is>
      </c>
      <c r="G44" s="7" t="inlineStr"/>
      <c r="H44" s="7" t="inlineStr"/>
      <c r="I44" s="7" t="inlineStr"/>
      <c r="J44" s="7" t="inlineStr"/>
      <c r="K44" s="7" t="inlineStr"/>
      <c r="L44" s="7" t="inlineStr"/>
      <c r="M44" s="7" t="inlineStr"/>
      <c r="N44" s="7" t="inlineStr">
        <is>
          <t>C</t>
        </is>
      </c>
      <c r="O44" s="7" t="inlineStr">
        <is>
          <t>C</t>
        </is>
      </c>
      <c r="P44" s="7" t="inlineStr"/>
      <c r="Q44" s="7" t="inlineStr"/>
      <c r="R44" s="7" t="inlineStr"/>
      <c r="S44" s="7" t="inlineStr"/>
      <c r="T44" s="7" t="inlineStr"/>
      <c r="U44" s="6" t="inlineStr"/>
      <c r="V44" s="6" t="inlineStr">
        <is>
          <t>.claude/skills/adverse-event-and-recall-reporter/SKILL.md:65,108; .claude/skills/regulatory-manager/references/pedrero-contacts.md:9,13,21</t>
        </is>
      </c>
      <c r="W44" s="6" t="inlineStr">
        <is>
          <t>Two distinct gates per filing - Pedrero send approval and agency submission approval - both held by Alvin. Statutory clock with no named backup. A and R both AB. Pedrero Regulatory holds the binding external review; consult-only internally, with no Asana access and no internal authority, so the Reg Lead gate stays in-house.</t>
        </is>
      </c>
    </row>
    <row r="45">
      <c r="A45" s="5" t="inlineStr">
        <is>
          <t>Regulatory &amp; Compliance</t>
        </is>
      </c>
      <c r="B45" s="6" t="inlineStr">
        <is>
          <t>Regulatory fan-out routing and the regulatory dashboard publish</t>
        </is>
      </c>
      <c r="C45" s="7" t="inlineStr"/>
      <c r="D45" s="7" t="inlineStr"/>
      <c r="E45" s="9" t="inlineStr">
        <is>
          <t>A/R</t>
        </is>
      </c>
      <c r="F45" s="7" t="inlineStr">
        <is>
          <t>I</t>
        </is>
      </c>
      <c r="G45" s="7" t="inlineStr"/>
      <c r="H45" s="7" t="inlineStr"/>
      <c r="I45" s="7" t="inlineStr"/>
      <c r="J45" s="7" t="inlineStr"/>
      <c r="K45" s="7" t="inlineStr"/>
      <c r="L45" s="7" t="inlineStr"/>
      <c r="M45" s="7" t="inlineStr"/>
      <c r="N45" s="7" t="inlineStr">
        <is>
          <t>C</t>
        </is>
      </c>
      <c r="O45" s="7" t="inlineStr">
        <is>
          <t>C</t>
        </is>
      </c>
      <c r="P45" s="7" t="inlineStr"/>
      <c r="Q45" s="7" t="inlineStr"/>
      <c r="R45" s="7" t="inlineStr"/>
      <c r="S45" s="7" t="inlineStr"/>
      <c r="T45" s="7" t="inlineStr"/>
      <c r="U45" s="6" t="inlineStr"/>
      <c r="V45" s="6" t="inlineStr">
        <is>
          <t>.claude/skills/regulatory-manager/SKILL.md:60; .claude/skills/regulatory-status-reporter/SKILL.md:90; .claude/skills/regulatory-manager/references/pedrero-contacts.md:9,13,21</t>
        </is>
      </c>
      <c r="W45" s="6" t="inlineStr">
        <is>
          <t>Two gates per fan-out (Operator for the routing call, Reg Lead for task creation), both Alvin. Operator approves the dashboard commit before push. A and R both AB. Pedrero Regulatory holds the binding external review; consult-only internally, with no Asana access and no internal authority, so the Reg Lead gate stays in-house.</t>
        </is>
      </c>
    </row>
    <row r="46">
      <c r="A46" s="5" t="inlineStr">
        <is>
          <t>Regulatory &amp; Compliance</t>
        </is>
      </c>
      <c r="B46" s="6" t="inlineStr">
        <is>
          <t>Pedrero engagement letter, scope and renewal</t>
        </is>
      </c>
      <c r="C46" s="7" t="inlineStr"/>
      <c r="D46" s="7" t="inlineStr">
        <is>
          <t>C</t>
        </is>
      </c>
      <c r="E46" s="9" t="inlineStr">
        <is>
          <t>A/R</t>
        </is>
      </c>
      <c r="F46" s="7" t="inlineStr">
        <is>
          <t>I</t>
        </is>
      </c>
      <c r="G46" s="7" t="inlineStr"/>
      <c r="H46" s="7" t="inlineStr"/>
      <c r="I46" s="7" t="inlineStr"/>
      <c r="J46" s="7" t="inlineStr"/>
      <c r="K46" s="7" t="inlineStr"/>
      <c r="L46" s="7" t="inlineStr"/>
      <c r="M46" s="7" t="inlineStr"/>
      <c r="N46" s="7" t="inlineStr"/>
      <c r="O46" s="7" t="inlineStr">
        <is>
          <t>C</t>
        </is>
      </c>
      <c r="P46" s="7" t="inlineStr"/>
      <c r="Q46" s="7" t="inlineStr"/>
      <c r="R46" s="7" t="inlineStr"/>
      <c r="S46" s="7" t="inlineStr"/>
      <c r="T46" s="7" t="inlineStr"/>
      <c r="U46" s="6" t="inlineStr"/>
      <c r="V46" s="6" t="inlineStr">
        <is>
          <t>.claude/skills/regulatory-manager/references/pedrero-contacts.md:50; Alvin, 2026-07-31 (external partners)</t>
        </is>
      </c>
      <c r="W46" s="6" t="inlineStr">
        <is>
          <t>The engagement letter governs scope, retainer, response windows and dispute resolution. Annual renewal. A and R both AB - the only person managing the regulatory partner relationship.</t>
        </is>
      </c>
    </row>
    <row r="47">
      <c r="A47" s="5" t="inlineStr">
        <is>
          <t>Retail &amp; Wholesale</t>
        </is>
      </c>
      <c r="B47" s="6" t="inlineStr">
        <is>
          <t>Retailer and reseller first contact</t>
        </is>
      </c>
      <c r="C47" s="7" t="inlineStr"/>
      <c r="D47" s="7" t="inlineStr">
        <is>
          <t>I</t>
        </is>
      </c>
      <c r="E47" s="7" t="inlineStr">
        <is>
          <t>C</t>
        </is>
      </c>
      <c r="F47" s="9" t="inlineStr">
        <is>
          <t>A/R</t>
        </is>
      </c>
      <c r="G47" s="7" t="inlineStr"/>
      <c r="H47" s="7" t="inlineStr"/>
      <c r="I47" s="7" t="inlineStr"/>
      <c r="J47" s="7" t="inlineStr"/>
      <c r="K47" s="7" t="inlineStr"/>
      <c r="L47" s="7" t="inlineStr"/>
      <c r="M47" s="7" t="inlineStr"/>
      <c r="N47" s="7" t="inlineStr"/>
      <c r="O47" s="7" t="inlineStr"/>
      <c r="P47" s="7" t="inlineStr"/>
      <c r="Q47" s="7" t="inlineStr"/>
      <c r="R47" s="7" t="inlineStr"/>
      <c r="S47" s="7" t="inlineStr"/>
      <c r="T47" s="7" t="inlineStr"/>
      <c r="U47" s="6" t="inlineStr"/>
      <c r="V47" s="6" t="inlineStr">
        <is>
          <t>.claude/skills/purchasing-manager/SKILL.md:55; acb-thelanding: data/links.json</t>
        </is>
      </c>
      <c r="W47" s="6" t="inlineStr">
        <is>
          <t>First-contact owner for retailer, promotional_goods and accessories vendor types is the Sr. Director Consumer Strategy &amp; Ops. A and R both NI. Consistent with Nicole's all-channel accountability.</t>
        </is>
      </c>
    </row>
    <row r="48">
      <c r="A48" s="5" t="inlineStr">
        <is>
          <t>Retail &amp; Wholesale</t>
        </is>
      </c>
      <c r="B48" s="6" t="inlineStr">
        <is>
          <t>Retail channel launch programs: UBM cohort positioning, price ladder, Amazon Vendor</t>
        </is>
      </c>
      <c r="C48" s="7" t="inlineStr"/>
      <c r="D48" s="7" t="inlineStr">
        <is>
          <t>I</t>
        </is>
      </c>
      <c r="E48" s="8" t="inlineStr">
        <is>
          <t>R</t>
        </is>
      </c>
      <c r="F48" s="9" t="inlineStr">
        <is>
          <t>A</t>
        </is>
      </c>
      <c r="G48" s="7" t="inlineStr"/>
      <c r="H48" s="7" t="inlineStr"/>
      <c r="I48" s="7" t="inlineStr">
        <is>
          <t>C</t>
        </is>
      </c>
      <c r="J48" s="7" t="inlineStr"/>
      <c r="K48" s="7" t="inlineStr"/>
      <c r="L48" s="7" t="inlineStr"/>
      <c r="M48" s="7" t="inlineStr"/>
      <c r="N48" s="7" t="inlineStr"/>
      <c r="O48" s="7" t="inlineStr"/>
      <c r="P48" s="7" t="inlineStr"/>
      <c r="Q48" s="7" t="inlineStr"/>
      <c r="R48" s="7" t="inlineStr"/>
      <c r="S48" s="7" t="inlineStr"/>
      <c r="T48" s="7" t="inlineStr"/>
      <c r="U48" s="6" t="inlineStr"/>
      <c r="V48" s="6" t="inlineStr">
        <is>
          <t>.claude/skills/purchasing-manager/SKILL.md:55; .claude/skills/sjs-retail-intel/SKILL.md:52; .claude/skills/logistics-manager/SKILL.md:80; acb-thelanding: data/links.json; Alvin, 2026-07-31 (marketing, wholesale and web)</t>
        </is>
      </c>
      <c r="W48" s="6" t="inlineStr">
        <is>
          <t>UBM launch June 2026. Nicole holds the channel relationship; Alvin runs the positioning and outbound work. Hub lists wholesale as "Owned by TBD" (links.json, Sales &amp; Commerce lead). Resolved to Nicole as part of all-channel accountability.</t>
        </is>
      </c>
    </row>
    <row r="49">
      <c r="A49" s="5" t="inlineStr">
        <is>
          <t>Retail &amp; Wholesale</t>
        </is>
      </c>
      <c r="B49" s="6" t="inlineStr">
        <is>
          <t>Wholesale pipeline and new retail partner development</t>
        </is>
      </c>
      <c r="C49" s="7" t="inlineStr">
        <is>
          <t>I</t>
        </is>
      </c>
      <c r="D49" s="7" t="inlineStr">
        <is>
          <t>I</t>
        </is>
      </c>
      <c r="E49" s="7" t="inlineStr">
        <is>
          <t>C</t>
        </is>
      </c>
      <c r="F49" s="9" t="inlineStr">
        <is>
          <t>A/R</t>
        </is>
      </c>
      <c r="G49" s="7" t="inlineStr"/>
      <c r="H49" s="7" t="inlineStr"/>
      <c r="I49" s="7" t="inlineStr">
        <is>
          <t>C</t>
        </is>
      </c>
      <c r="J49" s="7" t="inlineStr"/>
      <c r="K49" s="7" t="inlineStr"/>
      <c r="L49" s="7" t="inlineStr"/>
      <c r="M49" s="7" t="inlineStr"/>
      <c r="N49" s="7" t="inlineStr"/>
      <c r="O49" s="7" t="inlineStr"/>
      <c r="P49" s="7" t="inlineStr"/>
      <c r="Q49" s="7" t="inlineStr"/>
      <c r="R49" s="7" t="inlineStr"/>
      <c r="S49" s="7" t="inlineStr"/>
      <c r="T49" s="7" t="inlineStr"/>
      <c r="U49" s="6" t="inlineStr"/>
      <c r="V49" s="6" t="inlineStr">
        <is>
          <t>acb-thelanding: data/links.json (Sales &amp; Commerce lead: "TBD (wholesale)"); Alvin, 2026-07-31 (marketing, wholesale and web)</t>
        </is>
      </c>
      <c r="W49" s="6" t="inlineStr">
        <is>
          <t>Hub left wholesale unowned. Resolved to Nicole with all-channel accountability. A and R both Nicole - no second pair of eyes on new-partner decisions.</t>
        </is>
      </c>
    </row>
    <row r="50">
      <c r="A50" s="5" t="inlineStr">
        <is>
          <t>Retail &amp; Wholesale</t>
        </is>
      </c>
      <c r="B50" s="6" t="inlineStr">
        <is>
          <t>Retail price architecture and the pricing matrix</t>
        </is>
      </c>
      <c r="C50" s="7" t="inlineStr">
        <is>
          <t>I</t>
        </is>
      </c>
      <c r="D50" s="7" t="inlineStr">
        <is>
          <t>C</t>
        </is>
      </c>
      <c r="E50" s="8" t="inlineStr">
        <is>
          <t>R</t>
        </is>
      </c>
      <c r="F50" s="9" t="inlineStr">
        <is>
          <t>A</t>
        </is>
      </c>
      <c r="G50" s="7" t="inlineStr"/>
      <c r="H50" s="7" t="inlineStr"/>
      <c r="I50" s="7" t="inlineStr">
        <is>
          <t>C</t>
        </is>
      </c>
      <c r="J50" s="7" t="inlineStr"/>
      <c r="K50" s="7" t="inlineStr"/>
      <c r="L50" s="7" t="inlineStr"/>
      <c r="M50" s="7" t="inlineStr"/>
      <c r="N50" s="7" t="inlineStr">
        <is>
          <t>C</t>
        </is>
      </c>
      <c r="O50" s="7" t="inlineStr"/>
      <c r="P50" s="7" t="inlineStr"/>
      <c r="Q50" s="7" t="inlineStr"/>
      <c r="R50" s="7" t="inlineStr"/>
      <c r="S50" s="7" t="inlineStr"/>
      <c r="T50" s="7" t="inlineStr"/>
      <c r="U50" s="6" t="inlineStr"/>
      <c r="V50" s="6" t="inlineStr">
        <is>
          <t>acb-thelanding: data/links.json (Sales &amp; Commerce / Retail Price Architecture, SJS Pricing Matrix); Alvin, 2026-07-31 (marketing, wholesale and web)</t>
        </is>
      </c>
      <c r="W50" s="6" t="inlineStr">
        <is>
          <t>Live pricing matrix on the hub carries retail, wholesale and subscription prices with margin colouring. Ties to the margin framework, so Danielle consulted as the walk-away approver.</t>
        </is>
      </c>
    </row>
    <row r="51">
      <c r="A51" s="5" t="inlineStr">
        <is>
          <t>Retail &amp; Wholesale</t>
        </is>
      </c>
      <c r="B51" s="6" t="inlineStr">
        <is>
          <t>Retailer promo calendar (Sephora, Ulta) and promo planning</t>
        </is>
      </c>
      <c r="C51" s="7" t="inlineStr">
        <is>
          <t>I</t>
        </is>
      </c>
      <c r="D51" s="7" t="inlineStr">
        <is>
          <t>I</t>
        </is>
      </c>
      <c r="E51" s="7" t="inlineStr">
        <is>
          <t>C</t>
        </is>
      </c>
      <c r="F51" s="9" t="inlineStr">
        <is>
          <t>A</t>
        </is>
      </c>
      <c r="G51" s="7" t="inlineStr"/>
      <c r="H51" s="7" t="inlineStr"/>
      <c r="I51" s="8" t="inlineStr">
        <is>
          <t>R</t>
        </is>
      </c>
      <c r="J51" s="7" t="inlineStr">
        <is>
          <t>C</t>
        </is>
      </c>
      <c r="K51" s="7" t="inlineStr"/>
      <c r="L51" s="7" t="inlineStr"/>
      <c r="M51" s="7" t="inlineStr"/>
      <c r="N51" s="7" t="inlineStr"/>
      <c r="O51" s="7" t="inlineStr"/>
      <c r="P51" s="7" t="inlineStr"/>
      <c r="Q51" s="7" t="inlineStr"/>
      <c r="R51" s="7" t="inlineStr"/>
      <c r="S51" s="7" t="inlineStr"/>
      <c r="T51" s="7" t="inlineStr"/>
      <c r="U51" s="6" t="inlineStr"/>
      <c r="V51" s="6" t="inlineStr">
        <is>
          <t>acb-thelanding: data/links.json (Market Intelligence / Promo Landscape); Alvin, 2026-07-31 (marketing, wholesale and web)</t>
        </is>
      </c>
      <c r="W51" s="6" t="inlineStr">
        <is>
          <t>Promo Landscape tracks the Sephora and Ulta promo calendar. Marketing runs the planning; Nicole answers for the channel commitment.</t>
        </is>
      </c>
    </row>
    <row r="52">
      <c r="A52" s="5" t="inlineStr">
        <is>
          <t>Marketing &amp; Brand</t>
        </is>
      </c>
      <c r="B52" s="6" t="inlineStr">
        <is>
          <t>Quarterly competitive teardowns across the five comp brands</t>
        </is>
      </c>
      <c r="C52" s="7" t="inlineStr">
        <is>
          <t>I</t>
        </is>
      </c>
      <c r="D52" s="7" t="inlineStr">
        <is>
          <t>C</t>
        </is>
      </c>
      <c r="E52" s="7" t="inlineStr">
        <is>
          <t>I</t>
        </is>
      </c>
      <c r="F52" s="7" t="inlineStr">
        <is>
          <t>C</t>
        </is>
      </c>
      <c r="G52" s="7" t="inlineStr"/>
      <c r="H52" s="7" t="inlineStr"/>
      <c r="I52" s="9" t="inlineStr">
        <is>
          <t>A/R</t>
        </is>
      </c>
      <c r="J52" s="7" t="inlineStr">
        <is>
          <t>C</t>
        </is>
      </c>
      <c r="K52" s="7" t="inlineStr"/>
      <c r="L52" s="7" t="inlineStr"/>
      <c r="M52" s="7" t="inlineStr"/>
      <c r="N52" s="7" t="inlineStr"/>
      <c r="O52" s="7" t="inlineStr"/>
      <c r="P52" s="7" t="inlineStr"/>
      <c r="Q52" s="7" t="inlineStr"/>
      <c r="R52" s="7" t="inlineStr"/>
      <c r="S52" s="7" t="inlineStr"/>
      <c r="T52" s="7" t="inlineStr"/>
      <c r="U52" s="6" t="inlineStr"/>
      <c r="V52" s="6" t="inlineStr">
        <is>
          <t>.claude/skills/sjs-comp-intel/references/team-ownership.md:19,23-30; Alvin, 2026-07-31 (role correction)</t>
        </is>
      </c>
      <c r="W52" s="6" t="inlineStr">
        <is>
          <t>Soraya owns teardown production and comp brand profile maintenance. A and R both SS. Danielle consulted rather than only receiving the finished teardown.</t>
        </is>
      </c>
    </row>
    <row r="53">
      <c r="A53" s="5" t="inlineStr">
        <is>
          <t>Marketing &amp; Brand</t>
        </is>
      </c>
      <c r="B53" s="6" t="inlineStr">
        <is>
          <t>Quarterly teardown sign-off before circulation</t>
        </is>
      </c>
      <c r="C53" s="7" t="inlineStr"/>
      <c r="D53" s="7" t="inlineStr">
        <is>
          <t>I</t>
        </is>
      </c>
      <c r="E53" s="9" t="inlineStr">
        <is>
          <t>A</t>
        </is>
      </c>
      <c r="F53" s="7" t="inlineStr">
        <is>
          <t>C</t>
        </is>
      </c>
      <c r="G53" s="7" t="inlineStr"/>
      <c r="H53" s="7" t="inlineStr"/>
      <c r="I53" s="8" t="inlineStr">
        <is>
          <t>R</t>
        </is>
      </c>
      <c r="J53" s="7" t="inlineStr"/>
      <c r="K53" s="7" t="inlineStr"/>
      <c r="L53" s="7" t="inlineStr"/>
      <c r="M53" s="7" t="inlineStr"/>
      <c r="N53" s="7" t="inlineStr"/>
      <c r="O53" s="7" t="inlineStr"/>
      <c r="P53" s="7" t="inlineStr"/>
      <c r="Q53" s="7" t="inlineStr"/>
      <c r="R53" s="7" t="inlineStr"/>
      <c r="S53" s="7" t="inlineStr"/>
      <c r="T53" s="7" t="inlineStr"/>
      <c r="U53" s="6" t="inlineStr"/>
      <c r="V53" s="6" t="inlineStr">
        <is>
          <t>.claude/skills/sjs-comp-intel/references/team-ownership.md:65; .claude/skills/sjs-comp-intel/SKILL.md:50</t>
        </is>
      </c>
      <c r="W53" s="6" t="inlineStr">
        <is>
          <t>Alvin signs off before it circulates to Danielle and the SJS brand team.</t>
        </is>
      </c>
    </row>
    <row r="54">
      <c r="A54" s="5" t="inlineStr">
        <is>
          <t>Marketing &amp; Brand</t>
        </is>
      </c>
      <c r="B54" s="6" t="inlineStr">
        <is>
          <t>Monthly competitive trend digest and cross-stream signal routing</t>
        </is>
      </c>
      <c r="C54" s="7" t="inlineStr">
        <is>
          <t>I</t>
        </is>
      </c>
      <c r="D54" s="7" t="inlineStr">
        <is>
          <t>C</t>
        </is>
      </c>
      <c r="E54" s="7" t="inlineStr">
        <is>
          <t>I</t>
        </is>
      </c>
      <c r="F54" s="9" t="inlineStr">
        <is>
          <t>A/R</t>
        </is>
      </c>
      <c r="G54" s="7" t="inlineStr"/>
      <c r="H54" s="7" t="inlineStr"/>
      <c r="I54" s="7" t="inlineStr">
        <is>
          <t>C</t>
        </is>
      </c>
      <c r="J54" s="7" t="inlineStr">
        <is>
          <t>C</t>
        </is>
      </c>
      <c r="K54" s="7" t="inlineStr"/>
      <c r="L54" s="7" t="inlineStr"/>
      <c r="M54" s="7" t="inlineStr"/>
      <c r="N54" s="7" t="inlineStr"/>
      <c r="O54" s="7" t="inlineStr"/>
      <c r="P54" s="7" t="inlineStr"/>
      <c r="Q54" s="7" t="inlineStr"/>
      <c r="R54" s="7" t="inlineStr"/>
      <c r="S54" s="7" t="inlineStr"/>
      <c r="T54" s="7" t="inlineStr"/>
      <c r="U54" s="6" t="inlineStr"/>
      <c r="V54" s="6" t="inlineStr">
        <is>
          <t>.claude/skills/sjs-comp-intel/references/team-ownership.md:3,9-15; Alvin, 2026-07-31 (role correction)</t>
        </is>
      </c>
      <c r="W54" s="6" t="inlineStr">
        <is>
          <t>Stream DRI owns digest production and the 'what it means for SJS' analytical layer. Named as the stream's heartbeat - first thing protected under capacity pressure. A and R both NI. Danielle consulted on the digest's read.</t>
        </is>
      </c>
    </row>
    <row r="55">
      <c r="A55" s="5" t="inlineStr">
        <is>
          <t>Marketing &amp; Brand</t>
        </is>
      </c>
      <c r="B55" s="6" t="inlineStr">
        <is>
          <t>Social listening and comp brand monitoring (TikTok, IG, Pinterest, retailer new arrivals)</t>
        </is>
      </c>
      <c r="C55" s="7" t="inlineStr">
        <is>
          <t>I</t>
        </is>
      </c>
      <c r="D55" s="7" t="inlineStr">
        <is>
          <t>C</t>
        </is>
      </c>
      <c r="E55" s="7" t="inlineStr"/>
      <c r="F55" s="7" t="inlineStr"/>
      <c r="G55" s="7" t="inlineStr"/>
      <c r="H55" s="7" t="inlineStr"/>
      <c r="I55" s="7" t="inlineStr">
        <is>
          <t>C</t>
        </is>
      </c>
      <c r="J55" s="9" t="inlineStr">
        <is>
          <t>A/R</t>
        </is>
      </c>
      <c r="K55" s="7" t="inlineStr"/>
      <c r="L55" s="7" t="inlineStr"/>
      <c r="M55" s="7" t="inlineStr"/>
      <c r="N55" s="7" t="inlineStr"/>
      <c r="O55" s="7" t="inlineStr"/>
      <c r="P55" s="7" t="inlineStr"/>
      <c r="Q55" s="7" t="inlineStr"/>
      <c r="R55" s="7" t="inlineStr"/>
      <c r="S55" s="7" t="inlineStr"/>
      <c r="T55" s="7" t="inlineStr"/>
      <c r="U55" s="6" t="inlineStr"/>
      <c r="V55" s="6" t="inlineStr">
        <is>
          <t>.claude/skills/sjs-comp-intel/references/team-ownership.md:34,40-44; Alvin, 2026-07-31 (role correction)</t>
        </is>
      </c>
      <c r="W55" s="6" t="inlineStr">
        <is>
          <t>Kate owns social listening tool maintenance, query hygiene and the weekly retailer new-arrivals scan. A and R both KL. Danielle consulted on what the social signal implies for brand.</t>
        </is>
      </c>
    </row>
    <row r="56">
      <c r="A56" s="5" t="inlineStr">
        <is>
          <t>Marketing &amp; Brand</t>
        </is>
      </c>
      <c r="B56" s="6" t="inlineStr">
        <is>
          <t>Brand guideline custody (fonts, colors, logos, voice)</t>
        </is>
      </c>
      <c r="C56" s="7" t="inlineStr">
        <is>
          <t>C</t>
        </is>
      </c>
      <c r="D56" s="9" t="inlineStr">
        <is>
          <t>A</t>
        </is>
      </c>
      <c r="E56" s="7" t="inlineStr"/>
      <c r="F56" s="7" t="inlineStr"/>
      <c r="G56" s="7" t="inlineStr"/>
      <c r="H56" s="7" t="inlineStr"/>
      <c r="I56" s="7" t="inlineStr">
        <is>
          <t>C</t>
        </is>
      </c>
      <c r="J56" s="7" t="inlineStr">
        <is>
          <t>I</t>
        </is>
      </c>
      <c r="K56" s="8" t="inlineStr">
        <is>
          <t>R</t>
        </is>
      </c>
      <c r="L56" s="7" t="inlineStr">
        <is>
          <t>C</t>
        </is>
      </c>
      <c r="M56" s="7" t="inlineStr"/>
      <c r="N56" s="7" t="inlineStr"/>
      <c r="O56" s="7" t="inlineStr"/>
      <c r="P56" s="7" t="inlineStr"/>
      <c r="Q56" s="7" t="inlineStr"/>
      <c r="R56" s="7" t="inlineStr"/>
      <c r="S56" s="7" t="inlineStr"/>
      <c r="T56" s="7" t="inlineStr"/>
      <c r="U56" s="6" t="inlineStr"/>
      <c r="V56" s="6" t="inlineStr">
        <is>
          <t>.claude/skills/sweet-july-skin-brand/SKILL.md:1; references/architecture/system_map.md:157; Alvin, 2026-07-31 (role correction); acb-thelanding: data/links.json</t>
        </is>
      </c>
      <c r="W56" s="6" t="inlineStr">
        <is>
          <t>Every output-producing skill defers here for canonical brand spec; no skill carries its own copy. President answers for brand custody; Creative Director maintains it. Ayesha consulted - the brand carries her name. Every output-producing skill defers here for canonical spec. Hub lists Brand &amp; Creative as "Owned by Soraya" as function lead; custody accountability sits with the President per the 31 July correction. Both hold: Soraya runs the function, Danielle answers for the brand standard.</t>
        </is>
      </c>
    </row>
    <row r="57">
      <c r="A57" s="5" t="inlineStr">
        <is>
          <t>Marketing &amp; Brand</t>
        </is>
      </c>
      <c r="B57" s="6" t="inlineStr">
        <is>
          <t>Annual team holiday communications (11 sends across 3 templates)</t>
        </is>
      </c>
      <c r="C57" s="7" t="inlineStr"/>
      <c r="D57" s="7" t="inlineStr">
        <is>
          <t>I</t>
        </is>
      </c>
      <c r="E57" s="9" t="inlineStr">
        <is>
          <t>A/R</t>
        </is>
      </c>
      <c r="F57" s="7" t="inlineStr">
        <is>
          <t>I</t>
        </is>
      </c>
      <c r="G57" s="7" t="inlineStr"/>
      <c r="H57" s="7" t="inlineStr"/>
      <c r="I57" s="7" t="inlineStr">
        <is>
          <t>I</t>
        </is>
      </c>
      <c r="J57" s="7" t="inlineStr">
        <is>
          <t>I</t>
        </is>
      </c>
      <c r="K57" s="7" t="inlineStr"/>
      <c r="L57" s="7" t="inlineStr">
        <is>
          <t>I</t>
        </is>
      </c>
      <c r="M57" s="7" t="inlineStr"/>
      <c r="N57" s="7" t="inlineStr"/>
      <c r="O57" s="7" t="inlineStr"/>
      <c r="P57" s="7" t="inlineStr"/>
      <c r="Q57" s="7" t="inlineStr"/>
      <c r="R57" s="7" t="inlineStr"/>
      <c r="S57" s="7" t="inlineStr"/>
      <c r="T57" s="7" t="inlineStr"/>
      <c r="U57" s="6" t="inlineStr"/>
      <c r="V57" s="6" t="inlineStr">
        <is>
          <t>.claude/skills/ac-brands-holiday-comms/SKILL.md:26,165</t>
        </is>
      </c>
      <c r="W57" s="6" t="inlineStr">
        <is>
          <t>Sends from alvin@ac-brands.com with the team on BCC. Includes the Outlook calendar sync and annual maintenance. A and R both AB.</t>
        </is>
      </c>
    </row>
    <row r="58">
      <c r="A58" s="5" t="inlineStr">
        <is>
          <t>Marketing &amp; Brand</t>
        </is>
      </c>
      <c r="B58" s="6" t="inlineStr">
        <is>
          <t>Weekly founder briefing, Slides 5 and 6</t>
        </is>
      </c>
      <c r="C58" s="7" t="inlineStr">
        <is>
          <t>I</t>
        </is>
      </c>
      <c r="D58" s="7" t="inlineStr">
        <is>
          <t>I</t>
        </is>
      </c>
      <c r="E58" s="9" t="inlineStr">
        <is>
          <t>A/R</t>
        </is>
      </c>
      <c r="F58" s="7" t="inlineStr">
        <is>
          <t>C</t>
        </is>
      </c>
      <c r="G58" s="7" t="inlineStr"/>
      <c r="H58" s="7" t="inlineStr"/>
      <c r="I58" s="7" t="inlineStr"/>
      <c r="J58" s="7" t="inlineStr"/>
      <c r="K58" s="7" t="inlineStr"/>
      <c r="L58" s="7" t="inlineStr"/>
      <c r="M58" s="7" t="inlineStr"/>
      <c r="N58" s="7" t="inlineStr">
        <is>
          <t>C</t>
        </is>
      </c>
      <c r="O58" s="7" t="inlineStr"/>
      <c r="P58" s="7" t="inlineStr"/>
      <c r="Q58" s="7" t="inlineStr"/>
      <c r="R58" s="7" t="inlineStr"/>
      <c r="S58" s="7" t="inlineStr"/>
      <c r="T58" s="7" t="inlineStr"/>
      <c r="U58" s="6" t="inlineStr"/>
      <c r="V58" s="6" t="inlineStr">
        <is>
          <t>.claude/skills/ayesha-weekly-briefing/SKILL.md:49,72</t>
        </is>
      </c>
      <c r="W58" s="6" t="inlineStr">
        <is>
          <t>Alvin owns both Slide 5 (Business Operations) and Slide 6 PD-Ops content; Nicole co-authors Slide 6 with her core PD content. A and R both AB.</t>
        </is>
      </c>
    </row>
    <row r="59">
      <c r="A59" s="5" t="inlineStr">
        <is>
          <t>Marketing &amp; Brand</t>
        </is>
      </c>
      <c r="B59" s="6" t="inlineStr">
        <is>
          <t>Operational special projects: labels, PR seeding, sampling</t>
        </is>
      </c>
      <c r="C59" s="7" t="inlineStr">
        <is>
          <t>I</t>
        </is>
      </c>
      <c r="D59" s="7" t="inlineStr">
        <is>
          <t>C</t>
        </is>
      </c>
      <c r="E59" s="8" t="inlineStr">
        <is>
          <t>R</t>
        </is>
      </c>
      <c r="F59" s="9" t="inlineStr">
        <is>
          <t>A</t>
        </is>
      </c>
      <c r="G59" s="7" t="inlineStr">
        <is>
          <t>-&gt;</t>
        </is>
      </c>
      <c r="H59" s="7" t="inlineStr"/>
      <c r="I59" s="7" t="inlineStr">
        <is>
          <t>C</t>
        </is>
      </c>
      <c r="J59" s="7" t="inlineStr">
        <is>
          <t>C</t>
        </is>
      </c>
      <c r="K59" s="7" t="inlineStr">
        <is>
          <t>C</t>
        </is>
      </c>
      <c r="L59" s="7" t="inlineStr"/>
      <c r="M59" s="7" t="inlineStr"/>
      <c r="N59" s="7" t="inlineStr"/>
      <c r="O59" s="7" t="inlineStr"/>
      <c r="P59" s="7" t="inlineStr"/>
      <c r="Q59" s="7" t="inlineStr"/>
      <c r="R59" s="7" t="inlineStr"/>
      <c r="S59" s="7" t="inlineStr"/>
      <c r="T59" s="7" t="inlineStr"/>
      <c r="U59" s="6" t="inlineStr">
        <is>
          <t>Operations Specialist</t>
        </is>
      </c>
      <c r="V59" s="6" t="inlineStr">
        <is>
          <t>SharePoint: Sweet July Skin - Operations Specialist - Job Description.docx; Email to Danielle 2026-07-27 'Proposed Ops Positions'; Alvin, 2026-07-31 (role correction)</t>
        </is>
      </c>
      <c r="W59" s="6" t="inlineStr">
        <is>
          <t>Named in the Ops Specialist JD, and in the email as making sure product is where it needs to be for launches, promos, PR seeding and sampling. Danielle consulted - PR seeding and sampling are brand-facing.</t>
        </is>
      </c>
    </row>
    <row r="60">
      <c r="A60" s="5" t="inlineStr">
        <is>
          <t>Marketing &amp; Brand</t>
        </is>
      </c>
      <c r="B60" s="6" t="inlineStr">
        <is>
          <t>Campaign direction and seasonal brand moments</t>
        </is>
      </c>
      <c r="C60" s="7" t="inlineStr">
        <is>
          <t>C</t>
        </is>
      </c>
      <c r="D60" s="9" t="inlineStr">
        <is>
          <t>A</t>
        </is>
      </c>
      <c r="E60" s="7" t="inlineStr">
        <is>
          <t>I</t>
        </is>
      </c>
      <c r="F60" s="7" t="inlineStr">
        <is>
          <t>C</t>
        </is>
      </c>
      <c r="G60" s="7" t="inlineStr"/>
      <c r="H60" s="7" t="inlineStr"/>
      <c r="I60" s="8" t="inlineStr">
        <is>
          <t>R</t>
        </is>
      </c>
      <c r="J60" s="7" t="inlineStr">
        <is>
          <t>C</t>
        </is>
      </c>
      <c r="K60" s="7" t="inlineStr">
        <is>
          <t>C</t>
        </is>
      </c>
      <c r="L60" s="7" t="inlineStr"/>
      <c r="M60" s="7" t="inlineStr"/>
      <c r="N60" s="7" t="inlineStr"/>
      <c r="O60" s="7" t="inlineStr"/>
      <c r="P60" s="7" t="inlineStr"/>
      <c r="Q60" s="7" t="inlineStr"/>
      <c r="R60" s="7" t="inlineStr"/>
      <c r="S60" s="7" t="inlineStr"/>
      <c r="T60" s="7" t="inlineStr"/>
      <c r="U60" s="6" t="inlineStr"/>
      <c r="V60" s="6" t="inlineStr">
        <is>
          <t>Alvin, 2026-07-31 (role correction); .claude/skills/sjs-margin-walk-away/SKILL.md:93</t>
        </is>
      </c>
      <c r="W60" s="6" t="inlineStr">
        <is>
          <t>Added 2026-07-31. Campaign direction was absent from the matrix, which is why the President and the Founder had almost no Marketing presence. Danielle answers for it - Soraya reports to her and the margin sources already have her approving every repricing and channel call. Ayesha consulted on brand moments.</t>
        </is>
      </c>
    </row>
    <row r="61">
      <c r="A61" s="5" t="inlineStr">
        <is>
          <t>Marketing &amp; Brand</t>
        </is>
      </c>
      <c r="B61" s="6" t="inlineStr">
        <is>
          <t>Editorial and content calendar</t>
        </is>
      </c>
      <c r="C61" s="7" t="inlineStr">
        <is>
          <t>I</t>
        </is>
      </c>
      <c r="D61" s="7" t="inlineStr">
        <is>
          <t>C</t>
        </is>
      </c>
      <c r="E61" s="7" t="inlineStr">
        <is>
          <t>I</t>
        </is>
      </c>
      <c r="F61" s="7" t="inlineStr">
        <is>
          <t>C</t>
        </is>
      </c>
      <c r="G61" s="7" t="inlineStr"/>
      <c r="H61" s="7" t="inlineStr"/>
      <c r="I61" s="9" t="inlineStr">
        <is>
          <t>A</t>
        </is>
      </c>
      <c r="J61" s="8" t="inlineStr">
        <is>
          <t>R</t>
        </is>
      </c>
      <c r="K61" s="7" t="inlineStr">
        <is>
          <t>C</t>
        </is>
      </c>
      <c r="L61" s="7" t="inlineStr"/>
      <c r="M61" s="7" t="inlineStr"/>
      <c r="N61" s="7" t="inlineStr"/>
      <c r="O61" s="7" t="inlineStr"/>
      <c r="P61" s="7" t="inlineStr"/>
      <c r="Q61" s="7" t="inlineStr"/>
      <c r="R61" s="7" t="inlineStr"/>
      <c r="S61" s="7" t="inlineStr"/>
      <c r="T61" s="7" t="inlineStr"/>
      <c r="U61" s="6" t="inlineStr"/>
      <c r="V61" s="6" t="inlineStr">
        <is>
          <t>acb-thelanding: data/links.json (Marketing / Owned Channels); Alvin, 2026-07-31 (marketing, wholesale and web)</t>
        </is>
      </c>
      <c r="W61" s="6" t="inlineStr">
        <is>
          <t>Hub lists Marketing as "Owned by TBD"; resolved to Soraya as Marketing Manager. Editorial Calendar is a named tool under Owned Channels.</t>
        </is>
      </c>
    </row>
    <row r="62">
      <c r="A62" s="5" t="inlineStr">
        <is>
          <t>Marketing &amp; Brand</t>
        </is>
      </c>
      <c r="B62" s="6" t="inlineStr">
        <is>
          <t>Email marketing: Klaviyo flows and campaign sends</t>
        </is>
      </c>
      <c r="C62" s="7" t="inlineStr">
        <is>
          <t>I</t>
        </is>
      </c>
      <c r="D62" s="7" t="inlineStr">
        <is>
          <t>C</t>
        </is>
      </c>
      <c r="E62" s="7" t="inlineStr">
        <is>
          <t>I</t>
        </is>
      </c>
      <c r="F62" s="7" t="inlineStr">
        <is>
          <t>C</t>
        </is>
      </c>
      <c r="G62" s="7" t="inlineStr"/>
      <c r="H62" s="7" t="inlineStr"/>
      <c r="I62" s="9" t="inlineStr">
        <is>
          <t>A</t>
        </is>
      </c>
      <c r="J62" s="7" t="inlineStr">
        <is>
          <t>C</t>
        </is>
      </c>
      <c r="K62" s="7" t="inlineStr"/>
      <c r="L62" s="7" t="inlineStr"/>
      <c r="M62" s="7" t="inlineStr"/>
      <c r="N62" s="7" t="inlineStr"/>
      <c r="O62" s="7" t="inlineStr"/>
      <c r="P62" s="7" t="inlineStr"/>
      <c r="Q62" s="7" t="inlineStr"/>
      <c r="R62" s="8" t="inlineStr">
        <is>
          <t>R</t>
        </is>
      </c>
      <c r="S62" s="7" t="inlineStr"/>
      <c r="T62" s="7" t="inlineStr"/>
      <c r="U62" s="6" t="inlineStr"/>
      <c r="V62" s="6" t="inlineStr">
        <is>
          <t>acb-thelanding: data/links.json (Marketing / Klaviyo Performance); Alvin, 2026-07-31 (marketing, wholesale and web)</t>
        </is>
      </c>
      <c r="W62" s="6" t="inlineStr">
        <is>
          <t>WITHIN runs most of our digital marketing including email execution. Soraya answers for the channel. Klaviyo Performance is a named tool on the hub.</t>
        </is>
      </c>
    </row>
    <row r="63">
      <c r="A63" s="5" t="inlineStr">
        <is>
          <t>Marketing &amp; Brand</t>
        </is>
      </c>
      <c r="B63" s="6" t="inlineStr">
        <is>
          <t>Paid media: Meta, Google and channel spend</t>
        </is>
      </c>
      <c r="C63" s="7" t="inlineStr">
        <is>
          <t>I</t>
        </is>
      </c>
      <c r="D63" s="7" t="inlineStr">
        <is>
          <t>C</t>
        </is>
      </c>
      <c r="E63" s="7" t="inlineStr">
        <is>
          <t>C</t>
        </is>
      </c>
      <c r="F63" s="7" t="inlineStr">
        <is>
          <t>C</t>
        </is>
      </c>
      <c r="G63" s="7" t="inlineStr"/>
      <c r="H63" s="7" t="inlineStr"/>
      <c r="I63" s="9" t="inlineStr">
        <is>
          <t>A</t>
        </is>
      </c>
      <c r="J63" s="7" t="inlineStr"/>
      <c r="K63" s="7" t="inlineStr"/>
      <c r="L63" s="7" t="inlineStr"/>
      <c r="M63" s="7" t="inlineStr"/>
      <c r="N63" s="7" t="inlineStr"/>
      <c r="O63" s="7" t="inlineStr"/>
      <c r="P63" s="7" t="inlineStr"/>
      <c r="Q63" s="7" t="inlineStr"/>
      <c r="R63" s="8" t="inlineStr">
        <is>
          <t>R</t>
        </is>
      </c>
      <c r="S63" s="7" t="inlineStr"/>
      <c r="T63" s="7" t="inlineStr"/>
      <c r="U63" s="6" t="inlineStr"/>
      <c r="V63" s="6" t="inlineStr">
        <is>
          <t>acb-thelanding: data/links.json (Marketing / Paid Media Dashboard); Alvin, 2026-07-31 (marketing, wholesale and web)</t>
        </is>
      </c>
      <c r="W63" s="6" t="inlineStr">
        <is>
          <t>WITHIN is the digital marketing agency and runs paid execution. Alvin consulted on spend against margin floors. Quarterly business reviews with WITHIN - the most recent was 20 July.</t>
        </is>
      </c>
    </row>
    <row r="64">
      <c r="A64" s="5" t="inlineStr">
        <is>
          <t>Marketing &amp; Brand</t>
        </is>
      </c>
      <c r="B64" s="6" t="inlineStr">
        <is>
          <t>Social media content and publishing</t>
        </is>
      </c>
      <c r="C64" s="7" t="inlineStr">
        <is>
          <t>I</t>
        </is>
      </c>
      <c r="D64" s="7" t="inlineStr">
        <is>
          <t>C</t>
        </is>
      </c>
      <c r="E64" s="7" t="inlineStr"/>
      <c r="F64" s="7" t="inlineStr"/>
      <c r="G64" s="7" t="inlineStr"/>
      <c r="H64" s="7" t="inlineStr"/>
      <c r="I64" s="9" t="inlineStr">
        <is>
          <t>A</t>
        </is>
      </c>
      <c r="J64" s="8" t="inlineStr">
        <is>
          <t>R</t>
        </is>
      </c>
      <c r="K64" s="7" t="inlineStr">
        <is>
          <t>C</t>
        </is>
      </c>
      <c r="L64" s="7" t="inlineStr">
        <is>
          <t>C</t>
        </is>
      </c>
      <c r="M64" s="7" t="inlineStr"/>
      <c r="N64" s="7" t="inlineStr"/>
      <c r="O64" s="7" t="inlineStr"/>
      <c r="P64" s="7" t="inlineStr"/>
      <c r="Q64" s="7" t="inlineStr"/>
      <c r="R64" s="7" t="inlineStr"/>
      <c r="S64" s="7" t="inlineStr"/>
      <c r="T64" s="7" t="inlineStr"/>
      <c r="U64" s="6" t="inlineStr"/>
      <c r="V64" s="6" t="inlineStr">
        <is>
          <t>acb-thelanding: data/links.json (Marketing / Social Media Dashboard); Alvin, 2026-07-31 (marketing, wholesale and web)</t>
        </is>
      </c>
      <c r="W64" s="6" t="inlineStr">
        <is>
          <t>Distinct from social listening, which Kate is accountable for. Here she does the publishing work and Soraya answers for the channel.</t>
        </is>
      </c>
    </row>
    <row r="65">
      <c r="A65" s="5" t="inlineStr">
        <is>
          <t>Marketing &amp; Brand</t>
        </is>
      </c>
      <c r="B65" s="6" t="inlineStr">
        <is>
          <t>Influencer and earned media programs</t>
        </is>
      </c>
      <c r="C65" s="7" t="inlineStr">
        <is>
          <t>I</t>
        </is>
      </c>
      <c r="D65" s="7" t="inlineStr">
        <is>
          <t>C</t>
        </is>
      </c>
      <c r="E65" s="7" t="inlineStr">
        <is>
          <t>I</t>
        </is>
      </c>
      <c r="F65" s="7" t="inlineStr">
        <is>
          <t>C</t>
        </is>
      </c>
      <c r="G65" s="7" t="inlineStr"/>
      <c r="H65" s="7" t="inlineStr"/>
      <c r="I65" s="9" t="inlineStr">
        <is>
          <t>A</t>
        </is>
      </c>
      <c r="J65" s="8" t="inlineStr">
        <is>
          <t>R</t>
        </is>
      </c>
      <c r="K65" s="7" t="inlineStr"/>
      <c r="L65" s="7" t="inlineStr"/>
      <c r="M65" s="7" t="inlineStr"/>
      <c r="N65" s="7" t="inlineStr"/>
      <c r="O65" s="7" t="inlineStr"/>
      <c r="P65" s="7" t="inlineStr"/>
      <c r="Q65" s="7" t="inlineStr"/>
      <c r="R65" s="7" t="inlineStr"/>
      <c r="S65" s="7" t="inlineStr"/>
      <c r="T65" s="7" t="inlineStr"/>
      <c r="U65" s="6" t="inlineStr"/>
      <c r="V65" s="6" t="inlineStr">
        <is>
          <t>acb-thelanding: data/links.json; Alvin, 2026-07-31 (marketing, wholesale and web)</t>
        </is>
      </c>
      <c r="W65" s="6" t="inlineStr">
        <is>
          <t>Brand-facing and founder-adjacent, so Danielle consulted and Ayesha informed. The physical seeding logistics sit on the Operations special-projects row.</t>
        </is>
      </c>
    </row>
    <row r="66">
      <c r="A66" s="5" t="inlineStr">
        <is>
          <t>Marketing &amp; Brand</t>
        </is>
      </c>
      <c r="B66" s="6" t="inlineStr">
        <is>
          <t>WITHIN agency relationship and quarterly business reviews</t>
        </is>
      </c>
      <c r="C66" s="7" t="inlineStr">
        <is>
          <t>I</t>
        </is>
      </c>
      <c r="D66" s="7" t="inlineStr">
        <is>
          <t>C</t>
        </is>
      </c>
      <c r="E66" s="7" t="inlineStr">
        <is>
          <t>C</t>
        </is>
      </c>
      <c r="F66" s="7" t="inlineStr">
        <is>
          <t>C</t>
        </is>
      </c>
      <c r="G66" s="7" t="inlineStr"/>
      <c r="H66" s="7" t="inlineStr"/>
      <c r="I66" s="9" t="inlineStr">
        <is>
          <t>A/R</t>
        </is>
      </c>
      <c r="J66" s="7" t="inlineStr"/>
      <c r="K66" s="7" t="inlineStr"/>
      <c r="L66" s="7" t="inlineStr"/>
      <c r="M66" s="7" t="inlineStr"/>
      <c r="N66" s="7" t="inlineStr"/>
      <c r="O66" s="7" t="inlineStr"/>
      <c r="P66" s="7" t="inlineStr"/>
      <c r="Q66" s="7" t="inlineStr"/>
      <c r="R66" s="7" t="inlineStr"/>
      <c r="S66" s="7" t="inlineStr"/>
      <c r="T66" s="7" t="inlineStr"/>
      <c r="U66" s="6" t="inlineStr"/>
      <c r="V66" s="6" t="inlineStr">
        <is>
          <t>Alvin, 2026-07-31 (marketing, wholesale and web)</t>
        </is>
      </c>
      <c r="W66" s="6" t="inlineStr">
        <is>
          <t>A and R both Soraya. WITHIN holds most of our digital marketing execution, so the engagement is a single point of dependency - same shape as the other five external parties.</t>
        </is>
      </c>
    </row>
    <row r="67">
      <c r="A67" s="5" t="inlineStr">
        <is>
          <t>Creative</t>
        </is>
      </c>
      <c r="B67" s="6" t="inlineStr">
        <is>
          <t>Creative direction on packaging, artwork and brand visuals</t>
        </is>
      </c>
      <c r="C67" s="7" t="inlineStr">
        <is>
          <t>C</t>
        </is>
      </c>
      <c r="D67" s="7" t="inlineStr">
        <is>
          <t>C</t>
        </is>
      </c>
      <c r="E67" s="7" t="inlineStr">
        <is>
          <t>I</t>
        </is>
      </c>
      <c r="F67" s="7" t="inlineStr"/>
      <c r="G67" s="7" t="inlineStr"/>
      <c r="H67" s="7" t="inlineStr"/>
      <c r="I67" s="7" t="inlineStr">
        <is>
          <t>C</t>
        </is>
      </c>
      <c r="J67" s="7" t="inlineStr"/>
      <c r="K67" s="9" t="inlineStr">
        <is>
          <t>A/R</t>
        </is>
      </c>
      <c r="L67" s="7" t="inlineStr">
        <is>
          <t>C</t>
        </is>
      </c>
      <c r="M67" s="7" t="inlineStr"/>
      <c r="N67" s="7" t="inlineStr"/>
      <c r="O67" s="7" t="inlineStr"/>
      <c r="P67" s="7" t="inlineStr"/>
      <c r="Q67" s="7" t="inlineStr"/>
      <c r="R67" s="7" t="inlineStr"/>
      <c r="S67" s="7" t="inlineStr"/>
      <c r="T67" s="7" t="inlineStr"/>
      <c r="U67" s="6" t="inlineStr"/>
      <c r="V67" s="6" t="inlineStr">
        <is>
          <t>.claude/skills/asana-pd-manager/references/role-map.md:22; Alvin, 2026-07-31 (role correction)</t>
        </is>
      </c>
      <c r="W67" s="6" t="inlineStr">
        <is>
          <t>Creative Director owns packaging, artwork and brand visuals. A and R both EH. Creative Director owns the direction as lead technical authority, and is a contractor. Danielle and Ayesha both consulted. A and R the same person - no second pair of eyes, and no internal backup either.</t>
        </is>
      </c>
    </row>
    <row r="68">
      <c r="A68" s="5" t="inlineStr">
        <is>
          <t>Creative</t>
        </is>
      </c>
      <c r="B68" s="6" t="inlineStr">
        <is>
          <t>Packaging and artwork execution</t>
        </is>
      </c>
      <c r="C68" s="7" t="inlineStr">
        <is>
          <t>I</t>
        </is>
      </c>
      <c r="D68" s="7" t="inlineStr">
        <is>
          <t>I</t>
        </is>
      </c>
      <c r="E68" s="7" t="inlineStr">
        <is>
          <t>I</t>
        </is>
      </c>
      <c r="F68" s="7" t="inlineStr"/>
      <c r="G68" s="7" t="inlineStr"/>
      <c r="H68" s="7" t="inlineStr"/>
      <c r="I68" s="7" t="inlineStr"/>
      <c r="J68" s="7" t="inlineStr"/>
      <c r="K68" s="9" t="inlineStr">
        <is>
          <t>A</t>
        </is>
      </c>
      <c r="L68" s="7" t="inlineStr">
        <is>
          <t>C</t>
        </is>
      </c>
      <c r="M68" s="8" t="inlineStr">
        <is>
          <t>R</t>
        </is>
      </c>
      <c r="N68" s="7" t="inlineStr">
        <is>
          <t>C</t>
        </is>
      </c>
      <c r="O68" s="7" t="inlineStr"/>
      <c r="P68" s="7" t="inlineStr"/>
      <c r="Q68" s="7" t="inlineStr"/>
      <c r="R68" s="7" t="inlineStr"/>
      <c r="S68" s="7" t="inlineStr"/>
      <c r="T68" s="7" t="inlineStr"/>
      <c r="U68" s="6" t="inlineStr"/>
      <c r="V68" s="6" t="inlineStr">
        <is>
          <t>.claude/skills/asana-pd-manager/references/role-map.md:23; .claude/skills/sjs-comp-intel/references/team-ownership.md:79; Alvin, 2026-07-31 (role correction)</t>
        </is>
      </c>
      <c r="W68" s="6" t="inlineStr">
        <is>
          <t>Jan is the creative contractor under Erin. Title differs between sources - Packaging Engineer in one, creative contractor in the other. Erin holds technical authority; Jan executes. Both contractors.</t>
        </is>
      </c>
    </row>
    <row r="69">
      <c r="A69" s="5" t="inlineStr">
        <is>
          <t>Creative</t>
        </is>
      </c>
      <c r="B69" s="6" t="inlineStr">
        <is>
          <t>Creative Requests intake and design coordination</t>
        </is>
      </c>
      <c r="C69" s="7" t="inlineStr"/>
      <c r="D69" s="7" t="inlineStr">
        <is>
          <t>C</t>
        </is>
      </c>
      <c r="E69" s="7" t="inlineStr">
        <is>
          <t>I</t>
        </is>
      </c>
      <c r="F69" s="7" t="inlineStr"/>
      <c r="G69" s="7" t="inlineStr"/>
      <c r="H69" s="7" t="inlineStr"/>
      <c r="I69" s="7" t="inlineStr">
        <is>
          <t>C</t>
        </is>
      </c>
      <c r="J69" s="7" t="inlineStr"/>
      <c r="K69" s="7" t="inlineStr">
        <is>
          <t>C</t>
        </is>
      </c>
      <c r="L69" s="9" t="inlineStr">
        <is>
          <t>A/R</t>
        </is>
      </c>
      <c r="M69" s="7" t="inlineStr"/>
      <c r="N69" s="7" t="inlineStr"/>
      <c r="O69" s="7" t="inlineStr"/>
      <c r="P69" s="7" t="inlineStr"/>
      <c r="Q69" s="7" t="inlineStr"/>
      <c r="R69" s="7" t="inlineStr"/>
      <c r="S69" s="7" t="inlineStr"/>
      <c r="T69" s="7" t="inlineStr"/>
      <c r="U69" s="6" t="inlineStr"/>
      <c r="V69" s="6" t="inlineStr">
        <is>
          <t>.claude/skills/sjs-status-reporter/SKILL.md:352; .claude/skills/asana-pd-manager/references/role-map.md:24; Alvin, 2026-07-31 (role correction)</t>
        </is>
      </c>
      <c r="W69" s="6" t="inlineStr">
        <is>
          <t>Creative Requests Asana project owner is Ivy, Editorial/Design team. Ivy supports Erin and Jan. A and R both IT. Danielle consulted on intake priority.</t>
        </is>
      </c>
    </row>
    <row r="70">
      <c r="A70" s="5" t="inlineStr">
        <is>
          <t>Ecommerce &amp; DTC</t>
        </is>
      </c>
      <c r="B70" s="6" t="inlineStr">
        <is>
          <t>Shopify revenue and channel position read</t>
        </is>
      </c>
      <c r="C70" s="7" t="inlineStr"/>
      <c r="D70" s="7" t="inlineStr">
        <is>
          <t>I</t>
        </is>
      </c>
      <c r="E70" s="8" t="inlineStr">
        <is>
          <t>R</t>
        </is>
      </c>
      <c r="F70" s="9" t="inlineStr">
        <is>
          <t>A</t>
        </is>
      </c>
      <c r="G70" s="7" t="inlineStr"/>
      <c r="H70" s="7" t="inlineStr"/>
      <c r="I70" s="7" t="inlineStr">
        <is>
          <t>C</t>
        </is>
      </c>
      <c r="J70" s="7" t="inlineStr"/>
      <c r="K70" s="7" t="inlineStr"/>
      <c r="L70" s="7" t="inlineStr"/>
      <c r="M70" s="7" t="inlineStr"/>
      <c r="N70" s="7" t="inlineStr"/>
      <c r="O70" s="7" t="inlineStr"/>
      <c r="P70" s="7" t="inlineStr"/>
      <c r="Q70" s="7" t="inlineStr"/>
      <c r="R70" s="7" t="inlineStr"/>
      <c r="S70" s="7" t="inlineStr"/>
      <c r="T70" s="7" t="inlineStr"/>
      <c r="U70" s="6" t="inlineStr"/>
      <c r="V70" s="6" t="inlineStr">
        <is>
          <t>connections.md:7; context/about-business.md:5; acb-thelanding: data/links.json; Alvin, 2026-07-31 (marketing, wholesale and web)</t>
        </is>
      </c>
      <c r="W70" s="6" t="inlineStr">
        <is>
          <t>Nicole is accountable for all channels - DTC, Amazon and wholesale - with Alvin consulted and Danielle informed. This was the last row on the matrix with no owner; it now has one.</t>
        </is>
      </c>
    </row>
    <row r="71">
      <c r="A71" s="5" t="inlineStr">
        <is>
          <t>Ecommerce &amp; DTC</t>
        </is>
      </c>
      <c r="B71" s="6" t="inlineStr">
        <is>
          <t>Daily DTC fulfillment KPIs and the SJ Shipping Dashboard</t>
        </is>
      </c>
      <c r="C71" s="7" t="inlineStr"/>
      <c r="D71" s="7" t="inlineStr"/>
      <c r="E71" s="7" t="inlineStr">
        <is>
          <t>C</t>
        </is>
      </c>
      <c r="F71" s="9" t="inlineStr">
        <is>
          <t>A/R</t>
        </is>
      </c>
      <c r="G71" s="7" t="inlineStr">
        <is>
          <t>-&gt;</t>
        </is>
      </c>
      <c r="H71" s="7" t="inlineStr"/>
      <c r="I71" s="7" t="inlineStr"/>
      <c r="J71" s="7" t="inlineStr"/>
      <c r="K71" s="7" t="inlineStr"/>
      <c r="L71" s="7" t="inlineStr"/>
      <c r="M71" s="7" t="inlineStr"/>
      <c r="N71" s="7" t="inlineStr"/>
      <c r="O71" s="7" t="inlineStr"/>
      <c r="P71" s="7" t="inlineStr"/>
      <c r="Q71" s="7" t="inlineStr"/>
      <c r="R71" s="7" t="inlineStr"/>
      <c r="S71" s="7" t="inlineStr"/>
      <c r="T71" s="7" t="inlineStr"/>
      <c r="U71" s="6" t="inlineStr">
        <is>
          <t>Operations Specialist</t>
        </is>
      </c>
      <c r="V71" s="6" t="inlineStr">
        <is>
          <t>.claude/skills/oc3pl-order-manager/SKILL.md:61,191; .claude/skills/ayesha-weekly-briefing/SKILL.md:123</t>
        </is>
      </c>
      <c r="W71" s="6" t="inlineStr">
        <is>
          <t>Ex-Ops-Coordinator scope, now Nicole per the interim split. A and R both NI.</t>
        </is>
      </c>
    </row>
    <row r="72">
      <c r="A72" s="5" t="inlineStr">
        <is>
          <t>Ecommerce &amp; DTC</t>
        </is>
      </c>
      <c r="B72" s="6" t="inlineStr">
        <is>
          <t>Channel operations and promo setup across DTC, UBM and Amazon</t>
        </is>
      </c>
      <c r="C72" s="7" t="inlineStr"/>
      <c r="D72" s="7" t="inlineStr">
        <is>
          <t>I</t>
        </is>
      </c>
      <c r="E72" s="8" t="inlineStr">
        <is>
          <t>R</t>
        </is>
      </c>
      <c r="F72" s="9" t="inlineStr">
        <is>
          <t>A</t>
        </is>
      </c>
      <c r="G72" s="7" t="inlineStr">
        <is>
          <t>-&gt;</t>
        </is>
      </c>
      <c r="H72" s="7" t="inlineStr"/>
      <c r="I72" s="7" t="inlineStr">
        <is>
          <t>C</t>
        </is>
      </c>
      <c r="J72" s="7" t="inlineStr">
        <is>
          <t>C</t>
        </is>
      </c>
      <c r="K72" s="7" t="inlineStr"/>
      <c r="L72" s="7" t="inlineStr"/>
      <c r="M72" s="7" t="inlineStr"/>
      <c r="N72" s="7" t="inlineStr"/>
      <c r="O72" s="7" t="inlineStr"/>
      <c r="P72" s="7" t="inlineStr"/>
      <c r="Q72" s="7" t="inlineStr"/>
      <c r="R72" s="7" t="inlineStr"/>
      <c r="S72" s="7" t="inlineStr"/>
      <c r="T72" s="7" t="inlineStr"/>
      <c r="U72" s="6" t="inlineStr">
        <is>
          <t>Operations Specialist</t>
        </is>
      </c>
      <c r="V72" s="6" t="inlineStr">
        <is>
          <t>SharePoint: Sweet July Skin - Operations Specialist - Job Description.docx; acb-thelanding: data/links.json; Alvin, 2026-07-31 (marketing, wholesale and web)</t>
        </is>
      </c>
      <c r="W72" s="6" t="inlineStr">
        <is>
          <t>Named in the Ops Specialist JD under Order Management &amp; Channel Operations. Nicole holds the channel relationship. Part of Nicole's all-channel accountability.</t>
        </is>
      </c>
    </row>
    <row r="73">
      <c r="A73" s="5" t="inlineStr">
        <is>
          <t>Ecommerce &amp; DTC</t>
        </is>
      </c>
      <c r="B73" s="6" t="inlineStr">
        <is>
          <t>Proactive reships and fulfillment-issue resolution</t>
        </is>
      </c>
      <c r="C73" s="7" t="inlineStr"/>
      <c r="D73" s="7" t="inlineStr"/>
      <c r="E73" s="7" t="inlineStr">
        <is>
          <t>C</t>
        </is>
      </c>
      <c r="F73" s="9" t="inlineStr">
        <is>
          <t>A/R</t>
        </is>
      </c>
      <c r="G73" s="7" t="inlineStr">
        <is>
          <t>-&gt;</t>
        </is>
      </c>
      <c r="H73" s="7" t="inlineStr"/>
      <c r="I73" s="7" t="inlineStr"/>
      <c r="J73" s="7" t="inlineStr"/>
      <c r="K73" s="7" t="inlineStr"/>
      <c r="L73" s="7" t="inlineStr"/>
      <c r="M73" s="7" t="inlineStr"/>
      <c r="N73" s="7" t="inlineStr"/>
      <c r="O73" s="7" t="inlineStr"/>
      <c r="P73" s="7" t="inlineStr"/>
      <c r="Q73" s="7" t="inlineStr"/>
      <c r="R73" s="7" t="inlineStr"/>
      <c r="S73" s="7" t="inlineStr"/>
      <c r="T73" s="7" t="inlineStr"/>
      <c r="U73" s="6" t="inlineStr">
        <is>
          <t>Operations Specialist</t>
        </is>
      </c>
      <c r="V73" s="6" t="inlineStr">
        <is>
          <t>SharePoint: Sweet July Skin - Operations Specialist - Job Description.docx</t>
        </is>
      </c>
      <c r="W73" s="6" t="inlineStr">
        <is>
          <t>JD wording: resolve fulfillment issues "before a customer has to follow up." Sits inside Nicole's interim OC3PL coverage. A and R both NI.</t>
        </is>
      </c>
    </row>
    <row r="74">
      <c r="A74" s="5" t="inlineStr">
        <is>
          <t>Ecommerce &amp; DTC</t>
        </is>
      </c>
      <c r="B74" s="6" t="inlineStr">
        <is>
          <t>Amazon channel management (FBA, AWD, Seller Central)</t>
        </is>
      </c>
      <c r="C74" s="7" t="inlineStr">
        <is>
          <t>I</t>
        </is>
      </c>
      <c r="D74" s="7" t="inlineStr">
        <is>
          <t>I</t>
        </is>
      </c>
      <c r="E74" s="8" t="inlineStr">
        <is>
          <t>R</t>
        </is>
      </c>
      <c r="F74" s="9" t="inlineStr">
        <is>
          <t>A</t>
        </is>
      </c>
      <c r="G74" s="7" t="inlineStr">
        <is>
          <t>-&gt;</t>
        </is>
      </c>
      <c r="H74" s="7" t="inlineStr"/>
      <c r="I74" s="7" t="inlineStr">
        <is>
          <t>C</t>
        </is>
      </c>
      <c r="J74" s="7" t="inlineStr"/>
      <c r="K74" s="7" t="inlineStr"/>
      <c r="L74" s="7" t="inlineStr"/>
      <c r="M74" s="7" t="inlineStr"/>
      <c r="N74" s="7" t="inlineStr"/>
      <c r="O74" s="7" t="inlineStr"/>
      <c r="P74" s="7" t="inlineStr"/>
      <c r="Q74" s="7" t="inlineStr"/>
      <c r="R74" s="7" t="inlineStr"/>
      <c r="S74" s="7" t="inlineStr"/>
      <c r="T74" s="7" t="inlineStr"/>
      <c r="U74" s="6" t="inlineStr">
        <is>
          <t>Operations Specialist</t>
        </is>
      </c>
      <c r="V74" s="6" t="inlineStr">
        <is>
          <t>acb-thelanding: data/links.json (Sales &amp; Commerce / Amazon Dashboard); Alvin, 2026-07-31 (marketing, wholesale and web)</t>
        </is>
      </c>
      <c r="W74" s="6" t="inlineStr">
        <is>
          <t>Hub gave Amazon to Alvin; resolved to Nicole under all-channel accountability with Alvin doing the work. Inventory and inbound pipeline transition to the Ops Specialist.</t>
        </is>
      </c>
    </row>
    <row r="75">
      <c r="A75" s="5" t="inlineStr">
        <is>
          <t>Ecommerce &amp; DTC</t>
        </is>
      </c>
      <c r="B75" s="6" t="inlineStr">
        <is>
          <t>Product detail page content and product copy</t>
        </is>
      </c>
      <c r="C75" s="7" t="inlineStr"/>
      <c r="D75" s="7" t="inlineStr">
        <is>
          <t>I</t>
        </is>
      </c>
      <c r="E75" s="7" t="inlineStr">
        <is>
          <t>I</t>
        </is>
      </c>
      <c r="F75" s="7" t="inlineStr">
        <is>
          <t>C</t>
        </is>
      </c>
      <c r="G75" s="7" t="inlineStr"/>
      <c r="H75" s="7" t="inlineStr"/>
      <c r="I75" s="9" t="inlineStr">
        <is>
          <t>A/R</t>
        </is>
      </c>
      <c r="J75" s="7" t="inlineStr"/>
      <c r="K75" s="7" t="inlineStr">
        <is>
          <t>C</t>
        </is>
      </c>
      <c r="L75" s="7" t="inlineStr">
        <is>
          <t>C</t>
        </is>
      </c>
      <c r="M75" s="7" t="inlineStr"/>
      <c r="N75" s="7" t="inlineStr">
        <is>
          <t>C</t>
        </is>
      </c>
      <c r="O75" s="7" t="inlineStr"/>
      <c r="P75" s="7" t="inlineStr"/>
      <c r="Q75" s="7" t="inlineStr"/>
      <c r="R75" s="7" t="inlineStr"/>
      <c r="S75" s="7" t="inlineStr"/>
      <c r="T75" s="7" t="inlineStr"/>
      <c r="U75" s="6" t="inlineStr"/>
      <c r="V75" s="6" t="inlineStr">
        <is>
          <t>acb-thelanding: data/links.json (Sales &amp; Commerce / SJS Product Copy Database); Alvin, 2026-07-31 (marketing, wholesale and web)</t>
        </is>
      </c>
      <c r="W75" s="6" t="inlineStr">
        <is>
          <t>Product Copy Database is live from PLM and carries every claim, ingredient line, FAQ and Amazon title across DTC, Amazon and wholesale. Perrine and Regulatory consulted because claims on a PDP are claims. A and R both Soraya.</t>
        </is>
      </c>
    </row>
    <row r="76">
      <c r="A76" s="5" t="inlineStr">
        <is>
          <t>Finance</t>
        </is>
      </c>
      <c r="B76" s="6" t="inlineStr">
        <is>
          <t>Margin architecture framework and quarterly portfolio review</t>
        </is>
      </c>
      <c r="C76" s="7" t="inlineStr"/>
      <c r="D76" s="7" t="inlineStr">
        <is>
          <t>C</t>
        </is>
      </c>
      <c r="E76" s="9" t="inlineStr">
        <is>
          <t>A/R</t>
        </is>
      </c>
      <c r="F76" s="7" t="inlineStr">
        <is>
          <t>C</t>
        </is>
      </c>
      <c r="G76" s="7" t="inlineStr"/>
      <c r="H76" s="7" t="inlineStr"/>
      <c r="I76" s="7" t="inlineStr"/>
      <c r="J76" s="7" t="inlineStr"/>
      <c r="K76" s="7" t="inlineStr"/>
      <c r="L76" s="7" t="inlineStr"/>
      <c r="M76" s="7" t="inlineStr"/>
      <c r="N76" s="7" t="inlineStr"/>
      <c r="O76" s="7" t="inlineStr"/>
      <c r="P76" s="7" t="inlineStr"/>
      <c r="Q76" s="7" t="inlineStr"/>
      <c r="R76" s="7" t="inlineStr"/>
      <c r="S76" s="7" t="inlineStr"/>
      <c r="T76" s="7" t="inlineStr"/>
      <c r="U76" s="6" t="inlineStr"/>
      <c r="V76" s="6" t="inlineStr">
        <is>
          <t>.claude/skills/sjs-margin-architect/references/framework.md:209; .claude/skills/sjs-margin-portfolio-review/SKILL.md:1</t>
        </is>
      </c>
      <c r="W76" s="6" t="inlineStr">
        <is>
          <t>Framework reference plus the quarterly portfolio sweep and traffic-light report. A and R both AB.</t>
        </is>
      </c>
    </row>
    <row r="77">
      <c r="A77" s="5" t="inlineStr">
        <is>
          <t>Finance</t>
        </is>
      </c>
      <c r="B77" s="6" t="inlineStr">
        <is>
          <t>Per-SKU margin pressure-test against channel floors</t>
        </is>
      </c>
      <c r="C77" s="7" t="inlineStr"/>
      <c r="D77" s="7" t="inlineStr">
        <is>
          <t>I</t>
        </is>
      </c>
      <c r="E77" s="8" t="inlineStr">
        <is>
          <t>R</t>
        </is>
      </c>
      <c r="F77" s="7" t="inlineStr">
        <is>
          <t>C</t>
        </is>
      </c>
      <c r="G77" s="7" t="inlineStr"/>
      <c r="H77" s="7" t="inlineStr"/>
      <c r="I77" s="7" t="inlineStr">
        <is>
          <t>C</t>
        </is>
      </c>
      <c r="J77" s="7" t="inlineStr"/>
      <c r="K77" s="7" t="inlineStr"/>
      <c r="L77" s="7" t="inlineStr"/>
      <c r="M77" s="7" t="inlineStr"/>
      <c r="N77" s="9" t="inlineStr">
        <is>
          <t>A</t>
        </is>
      </c>
      <c r="O77" s="7" t="inlineStr"/>
      <c r="P77" s="7" t="inlineStr"/>
      <c r="Q77" s="7" t="inlineStr"/>
      <c r="R77" s="7" t="inlineStr"/>
      <c r="S77" s="7" t="inlineStr"/>
      <c r="T77" s="7" t="inlineStr"/>
      <c r="U77" s="6" t="inlineStr"/>
      <c r="V77" s="6" t="inlineStr">
        <is>
          <t>.claude/skills/sjs-margin-pressure-test/SKILL.md:93</t>
        </is>
      </c>
      <c r="W77" s="6" t="inlineStr">
        <is>
          <t>Flagged as Perrine and Soraya's call to ratify, with Alvin on admin, Nicole consulting and Danielle approving.</t>
        </is>
      </c>
    </row>
    <row r="78">
      <c r="A78" s="5" t="inlineStr">
        <is>
          <t>Finance</t>
        </is>
      </c>
      <c r="B78" s="6" t="inlineStr">
        <is>
          <t>Walk-away decision when a SKU breaks its channel floor</t>
        </is>
      </c>
      <c r="C78" s="7" t="inlineStr"/>
      <c r="D78" s="9" t="inlineStr">
        <is>
          <t>A</t>
        </is>
      </c>
      <c r="E78" s="8" t="inlineStr">
        <is>
          <t>R</t>
        </is>
      </c>
      <c r="F78" s="7" t="inlineStr">
        <is>
          <t>C</t>
        </is>
      </c>
      <c r="G78" s="7" t="inlineStr"/>
      <c r="H78" s="7" t="inlineStr"/>
      <c r="I78" s="7" t="inlineStr">
        <is>
          <t>C</t>
        </is>
      </c>
      <c r="J78" s="7" t="inlineStr"/>
      <c r="K78" s="7" t="inlineStr"/>
      <c r="L78" s="7" t="inlineStr"/>
      <c r="M78" s="7" t="inlineStr"/>
      <c r="N78" s="7" t="inlineStr">
        <is>
          <t>C</t>
        </is>
      </c>
      <c r="O78" s="7" t="inlineStr"/>
      <c r="P78" s="7" t="inlineStr"/>
      <c r="Q78" s="7" t="inlineStr"/>
      <c r="R78" s="7" t="inlineStr"/>
      <c r="S78" s="7" t="inlineStr"/>
      <c r="T78" s="7" t="inlineStr"/>
      <c r="U78" s="6" t="inlineStr"/>
      <c r="V78" s="6" t="inlineStr">
        <is>
          <t>.claude/skills/sjs-margin-walk-away/SKILL.md:93,105,118</t>
        </is>
      </c>
      <c r="W78" s="6" t="inlineStr">
        <is>
          <t>Danielle approves on three of the four paths. Alvin carries the work on all four.</t>
        </is>
      </c>
    </row>
    <row r="79">
      <c r="A79" s="5" t="inlineStr">
        <is>
          <t>Finance</t>
        </is>
      </c>
      <c r="B79" s="6" t="inlineStr">
        <is>
          <t>SKU archetype and Standard / Acquisition designation</t>
        </is>
      </c>
      <c r="C79" s="7" t="inlineStr"/>
      <c r="D79" s="7" t="inlineStr">
        <is>
          <t>I</t>
        </is>
      </c>
      <c r="E79" s="8" t="inlineStr">
        <is>
          <t>R</t>
        </is>
      </c>
      <c r="F79" s="7" t="inlineStr">
        <is>
          <t>C</t>
        </is>
      </c>
      <c r="G79" s="7" t="inlineStr"/>
      <c r="H79" s="7" t="inlineStr"/>
      <c r="I79" s="7" t="inlineStr"/>
      <c r="J79" s="7" t="inlineStr"/>
      <c r="K79" s="7" t="inlineStr"/>
      <c r="L79" s="7" t="inlineStr"/>
      <c r="M79" s="7" t="inlineStr"/>
      <c r="N79" s="9" t="inlineStr">
        <is>
          <t>A</t>
        </is>
      </c>
      <c r="O79" s="7" t="inlineStr"/>
      <c r="P79" s="7" t="inlineStr"/>
      <c r="Q79" s="7" t="inlineStr"/>
      <c r="R79" s="7" t="inlineStr"/>
      <c r="S79" s="7" t="inlineStr"/>
      <c r="T79" s="7" t="inlineStr"/>
      <c r="U79" s="6" t="inlineStr"/>
      <c r="V79" s="6" t="inlineStr">
        <is>
          <t>.claude/skills/sjs-margin-walk-away/SKILL.md:78</t>
        </is>
      </c>
      <c r="W79" s="6" t="inlineStr">
        <is>
          <t>Perrine as PD owner with Alvin on PD admin and sourcing; Nicole consults.</t>
        </is>
      </c>
    </row>
    <row r="80">
      <c r="A80" s="5" t="inlineStr">
        <is>
          <t>Finance</t>
        </is>
      </c>
      <c r="B80" s="6" t="inlineStr">
        <is>
          <t>Monthly and quarterly vendor cost rollups</t>
        </is>
      </c>
      <c r="C80" s="7" t="inlineStr"/>
      <c r="D80" s="7" t="inlineStr">
        <is>
          <t>I</t>
        </is>
      </c>
      <c r="E80" s="9" t="inlineStr">
        <is>
          <t>A/R</t>
        </is>
      </c>
      <c r="F80" s="7" t="inlineStr"/>
      <c r="G80" s="7" t="inlineStr"/>
      <c r="H80" s="7" t="inlineStr"/>
      <c r="I80" s="7" t="inlineStr"/>
      <c r="J80" s="7" t="inlineStr"/>
      <c r="K80" s="7" t="inlineStr"/>
      <c r="L80" s="7" t="inlineStr"/>
      <c r="M80" s="7" t="inlineStr"/>
      <c r="N80" s="7" t="inlineStr"/>
      <c r="O80" s="7" t="inlineStr"/>
      <c r="P80" s="7" t="inlineStr">
        <is>
          <t>C</t>
        </is>
      </c>
      <c r="Q80" s="7" t="inlineStr"/>
      <c r="R80" s="7" t="inlineStr"/>
      <c r="S80" s="7" t="inlineStr"/>
      <c r="T80" s="7" t="inlineStr"/>
      <c r="U80" s="6" t="inlineStr"/>
      <c r="V80" s="6" t="inlineStr">
        <is>
          <t>.claude/skills/regulatory-manager/SKILL.md:196; .claude/skills/purchasing-manager/SKILL.md:365; Alvin, 2026-07-31 (external partners)</t>
        </is>
      </c>
      <c r="W80" s="6" t="inlineStr">
        <is>
          <t>regulatory-manager Jobs 8 and 9 read vendor_invoices directly; purchasing-manager has no rollup of its own. A and R both AB. Ironclad consulted - the rollup feeds their books.</t>
        </is>
      </c>
    </row>
    <row r="81">
      <c r="A81" s="5" t="inlineStr">
        <is>
          <t>Finance</t>
        </is>
      </c>
      <c r="B81" s="6" t="inlineStr">
        <is>
          <t>Accounts payable, bookkeeping and payroll</t>
        </is>
      </c>
      <c r="C81" s="7" t="inlineStr"/>
      <c r="D81" s="7" t="inlineStr">
        <is>
          <t>C</t>
        </is>
      </c>
      <c r="E81" s="9" t="inlineStr">
        <is>
          <t>A</t>
        </is>
      </c>
      <c r="F81" s="7" t="inlineStr"/>
      <c r="G81" s="7" t="inlineStr"/>
      <c r="H81" s="7" t="inlineStr"/>
      <c r="I81" s="7" t="inlineStr"/>
      <c r="J81" s="7" t="inlineStr"/>
      <c r="K81" s="7" t="inlineStr"/>
      <c r="L81" s="7" t="inlineStr"/>
      <c r="M81" s="7" t="inlineStr"/>
      <c r="N81" s="7" t="inlineStr"/>
      <c r="O81" s="7" t="inlineStr"/>
      <c r="P81" s="8" t="inlineStr">
        <is>
          <t>R</t>
        </is>
      </c>
      <c r="Q81" s="7" t="inlineStr"/>
      <c r="R81" s="7" t="inlineStr"/>
      <c r="S81" s="7" t="inlineStr"/>
      <c r="T81" s="7" t="inlineStr"/>
      <c r="U81" s="6" t="inlineStr"/>
      <c r="V81" s="6" t="inlineStr">
        <is>
          <t>Alvin, 2026-07-31 (external partners)</t>
        </is>
      </c>
      <c r="W81" s="6" t="inlineStr">
        <is>
          <t>Ironclad Finance runs AP, bookkeeping and payroll; Dan Bender is the contact. Cost-side accountability sits with Operations because the vendor-invoice pipeline and its five approval gates feed it. No longer an unowned function.</t>
        </is>
      </c>
    </row>
    <row r="82">
      <c r="A82" s="5" t="inlineStr">
        <is>
          <t>Finance</t>
        </is>
      </c>
      <c r="B82" s="6" t="inlineStr">
        <is>
          <t>Month-end close and management reporting</t>
        </is>
      </c>
      <c r="C82" s="7" t="inlineStr">
        <is>
          <t>I</t>
        </is>
      </c>
      <c r="D82" s="9" t="inlineStr">
        <is>
          <t>A</t>
        </is>
      </c>
      <c r="E82" s="7" t="inlineStr">
        <is>
          <t>C</t>
        </is>
      </c>
      <c r="F82" s="7" t="inlineStr">
        <is>
          <t>C</t>
        </is>
      </c>
      <c r="G82" s="7" t="inlineStr"/>
      <c r="H82" s="7" t="inlineStr"/>
      <c r="I82" s="7" t="inlineStr"/>
      <c r="J82" s="7" t="inlineStr"/>
      <c r="K82" s="7" t="inlineStr"/>
      <c r="L82" s="7" t="inlineStr"/>
      <c r="M82" s="7" t="inlineStr"/>
      <c r="N82" s="7" t="inlineStr"/>
      <c r="O82" s="7" t="inlineStr"/>
      <c r="P82" s="8" t="inlineStr">
        <is>
          <t>R</t>
        </is>
      </c>
      <c r="Q82" s="7" t="inlineStr"/>
      <c r="R82" s="7" t="inlineStr"/>
      <c r="S82" s="7" t="inlineStr"/>
      <c r="T82" s="7" t="inlineStr"/>
      <c r="U82" s="6" t="inlineStr"/>
      <c r="V82" s="6" t="inlineStr">
        <is>
          <t>Alvin, 2026-07-31 (external partners)</t>
        </is>
      </c>
      <c r="W82" s="6" t="inlineStr">
        <is>
          <t>Ironclad Finance closes the books and produces the reporting; Dan Bender is the contact. Reporting accountability sits with the President.</t>
        </is>
      </c>
    </row>
    <row r="83">
      <c r="A83" s="5" t="inlineStr">
        <is>
          <t>Finance</t>
        </is>
      </c>
      <c r="B83" s="6" t="inlineStr">
        <is>
          <t>Annual budget and forecast consolidation</t>
        </is>
      </c>
      <c r="C83" s="7" t="inlineStr">
        <is>
          <t>I</t>
        </is>
      </c>
      <c r="D83" s="9" t="inlineStr">
        <is>
          <t>A</t>
        </is>
      </c>
      <c r="E83" s="7" t="inlineStr">
        <is>
          <t>C</t>
        </is>
      </c>
      <c r="F83" s="7" t="inlineStr">
        <is>
          <t>C</t>
        </is>
      </c>
      <c r="G83" s="7" t="inlineStr"/>
      <c r="H83" s="7" t="inlineStr"/>
      <c r="I83" s="7" t="inlineStr">
        <is>
          <t>C</t>
        </is>
      </c>
      <c r="J83" s="7" t="inlineStr"/>
      <c r="K83" s="7" t="inlineStr"/>
      <c r="L83" s="7" t="inlineStr"/>
      <c r="M83" s="7" t="inlineStr"/>
      <c r="N83" s="7" t="inlineStr"/>
      <c r="O83" s="7" t="inlineStr"/>
      <c r="P83" s="8" t="inlineStr">
        <is>
          <t>R</t>
        </is>
      </c>
      <c r="Q83" s="7" t="inlineStr"/>
      <c r="R83" s="7" t="inlineStr"/>
      <c r="S83" s="7" t="inlineStr"/>
      <c r="T83" s="7" t="inlineStr"/>
      <c r="U83" s="6" t="inlineStr"/>
      <c r="V83" s="6" t="inlineStr">
        <is>
          <t>Alvin, 2026-07-31 (external partners)</t>
        </is>
      </c>
      <c r="W83" s="6" t="inlineStr">
        <is>
          <t>President answers for the budget. Operations and Consumer Strategy feed the operating and channel assumptions.</t>
        </is>
      </c>
    </row>
    <row r="84">
      <c r="A84" s="5" t="inlineStr">
        <is>
          <t>Finance</t>
        </is>
      </c>
      <c r="B84" s="6" t="inlineStr">
        <is>
          <t>Inventory valuation and cost of goods</t>
        </is>
      </c>
      <c r="C84" s="7" t="inlineStr"/>
      <c r="D84" s="7" t="inlineStr">
        <is>
          <t>I</t>
        </is>
      </c>
      <c r="E84" s="9" t="inlineStr">
        <is>
          <t>A</t>
        </is>
      </c>
      <c r="F84" s="7" t="inlineStr">
        <is>
          <t>C</t>
        </is>
      </c>
      <c r="G84" s="7" t="inlineStr"/>
      <c r="H84" s="7" t="inlineStr"/>
      <c r="I84" s="7" t="inlineStr"/>
      <c r="J84" s="7" t="inlineStr"/>
      <c r="K84" s="7" t="inlineStr"/>
      <c r="L84" s="7" t="inlineStr"/>
      <c r="M84" s="7" t="inlineStr"/>
      <c r="N84" s="7" t="inlineStr">
        <is>
          <t>C</t>
        </is>
      </c>
      <c r="O84" s="7" t="inlineStr"/>
      <c r="P84" s="8" t="inlineStr">
        <is>
          <t>R</t>
        </is>
      </c>
      <c r="Q84" s="7" t="inlineStr"/>
      <c r="R84" s="7" t="inlineStr"/>
      <c r="S84" s="7" t="inlineStr"/>
      <c r="T84" s="7" t="inlineStr"/>
      <c r="U84" s="6" t="inlineStr"/>
      <c r="V84" s="6" t="inlineStr">
        <is>
          <t>Alvin, 2026-07-31 (external partners); .claude/skills/inventory-manager/SKILL.md:18</t>
        </is>
      </c>
      <c r="W84" s="6" t="inlineStr">
        <is>
          <t>Cost side, so accountability sits with Operations - it flows out of purchasing, receiving and the inventory ledger. Ironclad carries it into the books.</t>
        </is>
      </c>
    </row>
    <row r="85">
      <c r="A85" s="5" t="inlineStr">
        <is>
          <t>People &amp; Admin</t>
        </is>
      </c>
      <c r="B85" s="6" t="inlineStr">
        <is>
          <t>Hiring the Operations Specialist and the PD Project Manager Specialist</t>
        </is>
      </c>
      <c r="C85" s="7" t="inlineStr">
        <is>
          <t>I</t>
        </is>
      </c>
      <c r="D85" s="7" t="inlineStr">
        <is>
          <t>C</t>
        </is>
      </c>
      <c r="E85" s="9" t="inlineStr">
        <is>
          <t>A</t>
        </is>
      </c>
      <c r="F85" s="8" t="inlineStr">
        <is>
          <t>R</t>
        </is>
      </c>
      <c r="G85" s="7" t="inlineStr"/>
      <c r="H85" s="7" t="inlineStr"/>
      <c r="I85" s="7" t="inlineStr"/>
      <c r="J85" s="7" t="inlineStr"/>
      <c r="K85" s="7" t="inlineStr"/>
      <c r="L85" s="7" t="inlineStr"/>
      <c r="M85" s="7" t="inlineStr"/>
      <c r="N85" s="7" t="inlineStr"/>
      <c r="O85" s="7" t="inlineStr"/>
      <c r="P85" s="7" t="inlineStr"/>
      <c r="Q85" s="7" t="inlineStr">
        <is>
          <t>C</t>
        </is>
      </c>
      <c r="R85" s="7" t="inlineStr"/>
      <c r="S85" s="7" t="inlineStr"/>
      <c r="T85" s="7" t="inlineStr"/>
      <c r="U85" s="6" t="inlineStr"/>
      <c r="V85" s="6" t="inlineStr">
        <is>
          <t>decisions/log.md:52,58; context/priorities.md:3; Alvin, 2026-07-31 (external partners)</t>
        </is>
      </c>
      <c r="W85" s="6" t="inlineStr">
        <is>
          <t>Both new roles report to Nicole. Decision owner recorded as Alvin, with Nicole on the two new roles once filled. Priority 1 of 2 this quarter. Calm HR runs the recruiting process once the RACI clears Danielle.</t>
        </is>
      </c>
    </row>
    <row r="86">
      <c r="A86" s="5" t="inlineStr">
        <is>
          <t>People &amp; Admin</t>
        </is>
      </c>
      <c r="B86" s="6" t="inlineStr">
        <is>
          <t>Tool procurement, vendor renewals and shared-folder admin</t>
        </is>
      </c>
      <c r="C86" s="7" t="inlineStr"/>
      <c r="D86" s="7" t="inlineStr"/>
      <c r="E86" s="9" t="inlineStr">
        <is>
          <t>A/R</t>
        </is>
      </c>
      <c r="F86" s="7" t="inlineStr">
        <is>
          <t>C</t>
        </is>
      </c>
      <c r="G86" s="7" t="inlineStr"/>
      <c r="H86" s="7" t="inlineStr"/>
      <c r="I86" s="7" t="inlineStr"/>
      <c r="J86" s="7" t="inlineStr"/>
      <c r="K86" s="7" t="inlineStr"/>
      <c r="L86" s="7" t="inlineStr">
        <is>
          <t>C</t>
        </is>
      </c>
      <c r="M86" s="7" t="inlineStr"/>
      <c r="N86" s="7" t="inlineStr"/>
      <c r="O86" s="7" t="inlineStr"/>
      <c r="P86" s="7" t="inlineStr"/>
      <c r="Q86" s="7" t="inlineStr"/>
      <c r="R86" s="7" t="inlineStr"/>
      <c r="S86" s="7" t="inlineStr"/>
      <c r="T86" s="7" t="inlineStr"/>
      <c r="U86" s="6" t="inlineStr"/>
      <c r="V86" s="6" t="inlineStr">
        <is>
          <t>.claude/skills/sjs-comp-intel/references/team-ownership.md:50; .claude/skills/sjs-comp-intel/references/sequencing-plan.md:12</t>
        </is>
      </c>
      <c r="W86" s="6" t="inlineStr">
        <is>
          <t>Ex-Ops-Coordinator scope. Alvin carries it directly until the Operations Specialist starts. A and R both AB.</t>
        </is>
      </c>
    </row>
    <row r="87">
      <c r="A87" s="5" t="inlineStr">
        <is>
          <t>People &amp; Admin</t>
        </is>
      </c>
      <c r="B87" s="6" t="inlineStr">
        <is>
          <t>Employee onboarding, offboarding and access deprovisioning</t>
        </is>
      </c>
      <c r="C87" s="7" t="inlineStr"/>
      <c r="D87" s="7" t="inlineStr">
        <is>
          <t>C</t>
        </is>
      </c>
      <c r="E87" s="9" t="inlineStr">
        <is>
          <t>A</t>
        </is>
      </c>
      <c r="F87" s="7" t="inlineStr">
        <is>
          <t>C</t>
        </is>
      </c>
      <c r="G87" s="7" t="inlineStr"/>
      <c r="H87" s="7" t="inlineStr"/>
      <c r="I87" s="7" t="inlineStr"/>
      <c r="J87" s="7" t="inlineStr"/>
      <c r="K87" s="7" t="inlineStr"/>
      <c r="L87" s="7" t="inlineStr"/>
      <c r="M87" s="7" t="inlineStr"/>
      <c r="N87" s="7" t="inlineStr"/>
      <c r="O87" s="7" t="inlineStr"/>
      <c r="P87" s="7" t="inlineStr"/>
      <c r="Q87" s="8" t="inlineStr">
        <is>
          <t>R</t>
        </is>
      </c>
      <c r="R87" s="7" t="inlineStr"/>
      <c r="S87" s="7" t="inlineStr"/>
      <c r="T87" s="7" t="inlineStr">
        <is>
          <t>C</t>
        </is>
      </c>
      <c r="U87" s="6" t="inlineStr"/>
      <c r="V87" s="6" t="inlineStr">
        <is>
          <t>.claude/skills/asana-pd-manager/references/role-map.md:48-56; Alvin, 2026-07-31 (external partners); Alvin, 2026-07-31 (Coastal Interactive; PD visibility)</t>
        </is>
      </c>
      <c r="W87" s="6" t="inlineStr">
        <is>
          <t>Calm HR is the PEO and co-employer and runs the process; Alvin is the liaison and answers for it. Danielle consulted. No longer an unowned function - the departed-role-holder checklist in the PD role-map remains the internal system-side counterpart. Two partners split this: Calm HR runs the employment side, Coastal Interactive runs equipment and account provisioning. Alvin is the liaison to both and answers for the whole.</t>
        </is>
      </c>
    </row>
    <row r="88">
      <c r="A88" s="5" t="inlineStr">
        <is>
          <t>People &amp; Admin</t>
        </is>
      </c>
      <c r="B88" s="6" t="inlineStr">
        <is>
          <t>Operations Specialist recruiting</t>
        </is>
      </c>
      <c r="C88" s="7" t="inlineStr">
        <is>
          <t>I</t>
        </is>
      </c>
      <c r="D88" s="7" t="inlineStr">
        <is>
          <t>C</t>
        </is>
      </c>
      <c r="E88" s="9" t="inlineStr">
        <is>
          <t>A</t>
        </is>
      </c>
      <c r="F88" s="8" t="inlineStr">
        <is>
          <t>R</t>
        </is>
      </c>
      <c r="G88" s="7" t="inlineStr"/>
      <c r="H88" s="7" t="inlineStr"/>
      <c r="I88" s="7" t="inlineStr"/>
      <c r="J88" s="7" t="inlineStr"/>
      <c r="K88" s="7" t="inlineStr"/>
      <c r="L88" s="7" t="inlineStr"/>
      <c r="M88" s="7" t="inlineStr"/>
      <c r="N88" s="7" t="inlineStr"/>
      <c r="O88" s="7" t="inlineStr"/>
      <c r="P88" s="7" t="inlineStr"/>
      <c r="Q88" s="7" t="inlineStr"/>
      <c r="R88" s="7" t="inlineStr"/>
      <c r="S88" s="7" t="inlineStr"/>
      <c r="T88" s="7" t="inlineStr"/>
      <c r="U88" s="6" t="inlineStr"/>
      <c r="V88" s="6" t="inlineStr">
        <is>
          <t>Leadership Business Review 2026-07-30 52:48-53:17; Email to Danielle 2026-07-27 'Proposed Ops Positions'</t>
        </is>
      </c>
      <c r="W88" s="6" t="inlineStr">
        <is>
          <t>Prioritized first. Danielle: "we're going to prioritize the operations... Specialist." Reports to Nicole. Target in place before Q4. Salary band $72-90K.</t>
        </is>
      </c>
    </row>
    <row r="89">
      <c r="A89" s="5" t="inlineStr">
        <is>
          <t>People &amp; Admin</t>
        </is>
      </c>
      <c r="B89" s="6" t="inlineStr">
        <is>
          <t>PD Specialist role definition and phased recruiting</t>
        </is>
      </c>
      <c r="C89" s="7" t="inlineStr">
        <is>
          <t>I</t>
        </is>
      </c>
      <c r="D89" s="7" t="inlineStr">
        <is>
          <t>C</t>
        </is>
      </c>
      <c r="E89" s="9" t="inlineStr">
        <is>
          <t>A</t>
        </is>
      </c>
      <c r="F89" s="8" t="inlineStr">
        <is>
          <t>R</t>
        </is>
      </c>
      <c r="G89" s="7" t="inlineStr"/>
      <c r="H89" s="7" t="inlineStr"/>
      <c r="I89" s="7" t="inlineStr"/>
      <c r="J89" s="7" t="inlineStr"/>
      <c r="K89" s="7" t="inlineStr"/>
      <c r="L89" s="7" t="inlineStr"/>
      <c r="M89" s="7" t="inlineStr"/>
      <c r="N89" s="7" t="inlineStr"/>
      <c r="O89" s="7" t="inlineStr"/>
      <c r="P89" s="7" t="inlineStr"/>
      <c r="Q89" s="7" t="inlineStr"/>
      <c r="R89" s="7" t="inlineStr"/>
      <c r="S89" s="7" t="inlineStr"/>
      <c r="T89" s="7" t="inlineStr"/>
      <c r="U89" s="6" t="inlineStr"/>
      <c r="V89" s="6" t="inlineStr">
        <is>
          <t>Leadership Business Review 2026-07-30 53:17-57:10; Email to Danielle 2026-07-27 'Proposed Ops Positions'</t>
        </is>
      </c>
      <c r="W89" s="6" t="inlineStr">
        <is>
          <t>Phased in after the Ops Specialist. Danielle scopes it as "air traffic control, holding people accountable" rather than strategy or ideation, and is adding trend-forecasting language to the JD. Reports to Nicole. Salary band $75-95K.</t>
        </is>
      </c>
    </row>
    <row r="90">
      <c r="A90" s="5" t="inlineStr">
        <is>
          <t>People &amp; Admin</t>
        </is>
      </c>
      <c r="B90" s="6" t="inlineStr">
        <is>
          <t>SOP cleanup and operational prep before new-hire onboarding</t>
        </is>
      </c>
      <c r="C90" s="7" t="inlineStr"/>
      <c r="D90" s="7" t="inlineStr">
        <is>
          <t>I</t>
        </is>
      </c>
      <c r="E90" s="9" t="inlineStr">
        <is>
          <t>A</t>
        </is>
      </c>
      <c r="F90" s="8" t="inlineStr">
        <is>
          <t>R</t>
        </is>
      </c>
      <c r="G90" s="7" t="inlineStr"/>
      <c r="H90" s="7" t="inlineStr"/>
      <c r="I90" s="7" t="inlineStr"/>
      <c r="J90" s="7" t="inlineStr"/>
      <c r="K90" s="7" t="inlineStr"/>
      <c r="L90" s="7" t="inlineStr"/>
      <c r="M90" s="7" t="inlineStr"/>
      <c r="N90" s="7" t="inlineStr"/>
      <c r="O90" s="7" t="inlineStr"/>
      <c r="P90" s="7" t="inlineStr"/>
      <c r="Q90" s="7" t="inlineStr"/>
      <c r="R90" s="7" t="inlineStr"/>
      <c r="S90" s="7" t="inlineStr"/>
      <c r="T90" s="7" t="inlineStr"/>
      <c r="U90" s="6" t="inlineStr"/>
      <c r="V90" s="6" t="inlineStr">
        <is>
          <t>Leadership Business Review 2026-07-30 54:24-55:43, 1:00:32</t>
        </is>
      </c>
      <c r="W90" s="6" t="inlineStr">
        <is>
          <t>Danielle's condition on the hire: clean up the system first so the role can function. Nicole's action item from the review.</t>
        </is>
      </c>
    </row>
    <row r="91">
      <c r="A91" s="5" t="inlineStr">
        <is>
          <t>People &amp; Admin</t>
        </is>
      </c>
      <c r="B91" s="6" t="inlineStr">
        <is>
          <t>Employee handbook and HR policy</t>
        </is>
      </c>
      <c r="C91" s="7" t="inlineStr">
        <is>
          <t>I</t>
        </is>
      </c>
      <c r="D91" s="7" t="inlineStr">
        <is>
          <t>C</t>
        </is>
      </c>
      <c r="E91" s="9" t="inlineStr">
        <is>
          <t>A</t>
        </is>
      </c>
      <c r="F91" s="7" t="inlineStr">
        <is>
          <t>I</t>
        </is>
      </c>
      <c r="G91" s="7" t="inlineStr"/>
      <c r="H91" s="7" t="inlineStr"/>
      <c r="I91" s="7" t="inlineStr"/>
      <c r="J91" s="7" t="inlineStr"/>
      <c r="K91" s="7" t="inlineStr"/>
      <c r="L91" s="7" t="inlineStr"/>
      <c r="M91" s="7" t="inlineStr"/>
      <c r="N91" s="7" t="inlineStr"/>
      <c r="O91" s="7" t="inlineStr"/>
      <c r="P91" s="7" t="inlineStr"/>
      <c r="Q91" s="8" t="inlineStr">
        <is>
          <t>R</t>
        </is>
      </c>
      <c r="R91" s="7" t="inlineStr"/>
      <c r="S91" s="7" t="inlineStr"/>
      <c r="T91" s="7" t="inlineStr"/>
      <c r="U91" s="6" t="inlineStr"/>
      <c r="V91" s="6" t="inlineStr">
        <is>
          <t>Alvin, 2026-07-31 (external partners)</t>
        </is>
      </c>
      <c r="W91" s="6" t="inlineStr">
        <is>
          <t>Calm HR drafts and maintains; Alvin is the liaison and answers for it; Danielle co-approves. Handbook is in flight as of 2026-07-30 and goes to legal review before implementation.</t>
        </is>
      </c>
    </row>
    <row r="92">
      <c r="A92" s="5" t="inlineStr">
        <is>
          <t>People &amp; Admin</t>
        </is>
      </c>
      <c r="B92" s="6" t="inlineStr">
        <is>
          <t>Benefits administration and payroll processing</t>
        </is>
      </c>
      <c r="C92" s="7" t="inlineStr"/>
      <c r="D92" s="7" t="inlineStr">
        <is>
          <t>C</t>
        </is>
      </c>
      <c r="E92" s="9" t="inlineStr">
        <is>
          <t>A</t>
        </is>
      </c>
      <c r="F92" s="7" t="inlineStr"/>
      <c r="G92" s="7" t="inlineStr"/>
      <c r="H92" s="7" t="inlineStr"/>
      <c r="I92" s="7" t="inlineStr"/>
      <c r="J92" s="7" t="inlineStr"/>
      <c r="K92" s="7" t="inlineStr"/>
      <c r="L92" s="7" t="inlineStr"/>
      <c r="M92" s="7" t="inlineStr"/>
      <c r="N92" s="7" t="inlineStr"/>
      <c r="O92" s="7" t="inlineStr"/>
      <c r="P92" s="7" t="inlineStr">
        <is>
          <t>C</t>
        </is>
      </c>
      <c r="Q92" s="8" t="inlineStr">
        <is>
          <t>R</t>
        </is>
      </c>
      <c r="R92" s="7" t="inlineStr"/>
      <c r="S92" s="7" t="inlineStr"/>
      <c r="T92" s="7" t="inlineStr"/>
      <c r="U92" s="6" t="inlineStr"/>
      <c r="V92" s="6" t="inlineStr">
        <is>
          <t>Alvin, 2026-07-31 (external partners)</t>
        </is>
      </c>
      <c r="W92" s="6" t="inlineStr">
        <is>
          <t>Calm HR administers as co-employer. Ironclad consulted where payroll hits the books.</t>
        </is>
      </c>
    </row>
    <row r="93">
      <c r="A93" s="5" t="inlineStr">
        <is>
          <t>People &amp; Admin</t>
        </is>
      </c>
      <c r="B93" s="6" t="inlineStr">
        <is>
          <t>Employment compliance and separations</t>
        </is>
      </c>
      <c r="C93" s="7" t="inlineStr"/>
      <c r="D93" s="7" t="inlineStr">
        <is>
          <t>C</t>
        </is>
      </c>
      <c r="E93" s="9" t="inlineStr">
        <is>
          <t>A</t>
        </is>
      </c>
      <c r="F93" s="7" t="inlineStr"/>
      <c r="G93" s="7" t="inlineStr"/>
      <c r="H93" s="7" t="inlineStr"/>
      <c r="I93" s="7" t="inlineStr"/>
      <c r="J93" s="7" t="inlineStr"/>
      <c r="K93" s="7" t="inlineStr"/>
      <c r="L93" s="7" t="inlineStr"/>
      <c r="M93" s="7" t="inlineStr"/>
      <c r="N93" s="7" t="inlineStr"/>
      <c r="O93" s="7" t="inlineStr"/>
      <c r="P93" s="7" t="inlineStr"/>
      <c r="Q93" s="8" t="inlineStr">
        <is>
          <t>R</t>
        </is>
      </c>
      <c r="R93" s="7" t="inlineStr"/>
      <c r="S93" s="7" t="inlineStr"/>
      <c r="T93" s="7" t="inlineStr"/>
      <c r="U93" s="6" t="inlineStr"/>
      <c r="V93" s="6" t="inlineStr">
        <is>
          <t>Alvin, 2026-07-31 (external partners)</t>
        </is>
      </c>
      <c r="W93" s="6" t="inlineStr">
        <is>
          <t>Calm HR runs the process with outside counsel where needed. Danielle co-approves every separation.</t>
        </is>
      </c>
    </row>
    <row r="94">
      <c r="A94" s="5" t="inlineStr">
        <is>
          <t>IT / Systems &amp; Data</t>
        </is>
      </c>
      <c r="B94" s="6" t="inlineStr">
        <is>
          <t>PLM schema, write path, audit log and Supabase wiki custody</t>
        </is>
      </c>
      <c r="C94" s="7" t="inlineStr"/>
      <c r="D94" s="7" t="inlineStr"/>
      <c r="E94" s="9" t="inlineStr">
        <is>
          <t>A/R</t>
        </is>
      </c>
      <c r="F94" s="7" t="inlineStr"/>
      <c r="G94" s="7" t="inlineStr"/>
      <c r="H94" s="7" t="inlineStr"/>
      <c r="I94" s="7" t="inlineStr"/>
      <c r="J94" s="7" t="inlineStr"/>
      <c r="K94" s="7" t="inlineStr"/>
      <c r="L94" s="7" t="inlineStr"/>
      <c r="M94" s="7" t="inlineStr"/>
      <c r="N94" s="7" t="inlineStr">
        <is>
          <t>C</t>
        </is>
      </c>
      <c r="O94" s="7" t="inlineStr"/>
      <c r="P94" s="7" t="inlineStr"/>
      <c r="Q94" s="7" t="inlineStr"/>
      <c r="R94" s="7" t="inlineStr"/>
      <c r="S94" s="7" t="inlineStr"/>
      <c r="T94" s="7" t="inlineStr"/>
      <c r="U94" s="6" t="inlineStr"/>
      <c r="V94" s="6" t="inlineStr">
        <is>
          <t>.claude/skills/plm-assistant/SKILL.md:292; decisions/wiki-layer-audit-2026-07-29.md:52</t>
        </is>
      </c>
      <c r="W94" s="6" t="inlineStr">
        <is>
          <t>plm-assistant is the sole PLM writer and every write needs Operations sign-off. Job 0 wiki write-back has not fired since 2026-05-26. A and R both AB.</t>
        </is>
      </c>
    </row>
    <row r="95">
      <c r="A95" s="5" t="inlineStr">
        <is>
          <t>IT / Systems &amp; Data</t>
        </is>
      </c>
      <c r="B95" s="6" t="inlineStr">
        <is>
          <t>Landing hub publish and Netlify Function maintenance</t>
        </is>
      </c>
      <c r="C95" s="7" t="inlineStr"/>
      <c r="D95" s="7" t="inlineStr"/>
      <c r="E95" s="9" t="inlineStr">
        <is>
          <t>A/R</t>
        </is>
      </c>
      <c r="F95" s="7" t="inlineStr"/>
      <c r="G95" s="7" t="inlineStr"/>
      <c r="H95" s="7" t="inlineStr"/>
      <c r="I95" s="7" t="inlineStr"/>
      <c r="J95" s="7" t="inlineStr"/>
      <c r="K95" s="7" t="inlineStr"/>
      <c r="L95" s="7" t="inlineStr"/>
      <c r="M95" s="7" t="inlineStr"/>
      <c r="N95" s="7" t="inlineStr"/>
      <c r="O95" s="7" t="inlineStr"/>
      <c r="P95" s="7" t="inlineStr"/>
      <c r="Q95" s="7" t="inlineStr"/>
      <c r="R95" s="7" t="inlineStr"/>
      <c r="S95" s="7" t="inlineStr"/>
      <c r="T95" s="7" t="inlineStr"/>
      <c r="U95" s="6" t="inlineStr"/>
      <c r="V95" s="6" t="inlineStr">
        <is>
          <t>.claude/skills/quality-status-reporter/SKILL.md:34-50; .claude/skills/quality-status-reporter/references/hub-integration.md:85</t>
        </is>
      </c>
      <c r="W95" s="6" t="inlineStr">
        <is>
          <t>All hub writes go through the landing-hub-publish Function behind an Operator gate. Deploy is commit-and-push only, never Netlify CLI. A and R both AB.</t>
        </is>
      </c>
    </row>
    <row r="96">
      <c r="A96" s="5" t="inlineStr">
        <is>
          <t>IT / Systems &amp; Data</t>
        </is>
      </c>
      <c r="B96" s="6" t="inlineStr">
        <is>
          <t>Asana project, section, custom-field and connector configuration</t>
        </is>
      </c>
      <c r="C96" s="7" t="inlineStr"/>
      <c r="D96" s="7" t="inlineStr"/>
      <c r="E96" s="9" t="inlineStr">
        <is>
          <t>A/R</t>
        </is>
      </c>
      <c r="F96" s="7" t="inlineStr">
        <is>
          <t>C</t>
        </is>
      </c>
      <c r="G96" s="7" t="inlineStr"/>
      <c r="H96" s="7" t="inlineStr"/>
      <c r="I96" s="7" t="inlineStr"/>
      <c r="J96" s="7" t="inlineStr"/>
      <c r="K96" s="7" t="inlineStr"/>
      <c r="L96" s="7" t="inlineStr"/>
      <c r="M96" s="7" t="inlineStr"/>
      <c r="N96" s="7" t="inlineStr"/>
      <c r="O96" s="7" t="inlineStr"/>
      <c r="P96" s="7" t="inlineStr"/>
      <c r="Q96" s="7" t="inlineStr"/>
      <c r="R96" s="7" t="inlineStr"/>
      <c r="S96" s="7" t="inlineStr"/>
      <c r="T96" s="7" t="inlineStr">
        <is>
          <t>C</t>
        </is>
      </c>
      <c r="U96" s="6" t="inlineStr"/>
      <c r="V96" s="6" t="inlineStr">
        <is>
          <t>references/architecture/asana_task_contract.md:227; connections.md:5-13; Alvin, 2026-07-31 (Coastal Interactive; PD visibility)</t>
        </is>
      </c>
      <c r="W96" s="6" t="inlineStr">
        <is>
          <t>An unresolvable role-holder is surfaced for Alvin to decide, not dropped. Seven tool domains registered; iMessage still not connected. A and R both AB. Coastal Interactive consulted on identity, access and integration plumbing behind the connectors.</t>
        </is>
      </c>
    </row>
    <row r="97">
      <c r="A97" s="5" t="inlineStr">
        <is>
          <t>IT / Systems &amp; Data</t>
        </is>
      </c>
      <c r="B97" s="6" t="inlineStr">
        <is>
          <t>Skill suite authorship, audit and versioning</t>
        </is>
      </c>
      <c r="C97" s="7" t="inlineStr"/>
      <c r="D97" s="7" t="inlineStr"/>
      <c r="E97" s="9" t="inlineStr">
        <is>
          <t>A/R</t>
        </is>
      </c>
      <c r="F97" s="7" t="inlineStr"/>
      <c r="G97" s="7" t="inlineStr"/>
      <c r="H97" s="7" t="inlineStr"/>
      <c r="I97" s="7" t="inlineStr"/>
      <c r="J97" s="7" t="inlineStr"/>
      <c r="K97" s="7" t="inlineStr"/>
      <c r="L97" s="7" t="inlineStr"/>
      <c r="M97" s="7" t="inlineStr"/>
      <c r="N97" s="7" t="inlineStr"/>
      <c r="O97" s="7" t="inlineStr"/>
      <c r="P97" s="7" t="inlineStr"/>
      <c r="Q97" s="7" t="inlineStr"/>
      <c r="R97" s="7" t="inlineStr"/>
      <c r="S97" s="7" t="inlineStr"/>
      <c r="T97" s="7" t="inlineStr"/>
      <c r="U97" s="6" t="inlineStr"/>
      <c r="V97" s="6" t="inlineStr">
        <is>
          <t>decisions/skills-architecture-tracker.md:4; decisions/log.md:31,45</t>
        </is>
      </c>
      <c r="W97" s="6" t="inlineStr">
        <is>
          <t>Owner recorded as Alvin Belt across the architecture decisions. Priority 2 of 2 this quarter. A and R both AB.</t>
        </is>
      </c>
    </row>
    <row r="98">
      <c r="A98" s="5" t="inlineStr">
        <is>
          <t>IT / Systems &amp; Data</t>
        </is>
      </c>
      <c r="B98" s="6" t="inlineStr">
        <is>
          <t>The 23 scheduled Routines and their HITL gates</t>
        </is>
      </c>
      <c r="C98" s="7" t="inlineStr"/>
      <c r="D98" s="7" t="inlineStr"/>
      <c r="E98" s="9" t="inlineStr">
        <is>
          <t>A/R</t>
        </is>
      </c>
      <c r="F98" s="7" t="inlineStr">
        <is>
          <t>I</t>
        </is>
      </c>
      <c r="G98" s="7" t="inlineStr"/>
      <c r="H98" s="7" t="inlineStr"/>
      <c r="I98" s="7" t="inlineStr"/>
      <c r="J98" s="7" t="inlineStr"/>
      <c r="K98" s="7" t="inlineStr"/>
      <c r="L98" s="7" t="inlineStr"/>
      <c r="M98" s="7" t="inlineStr"/>
      <c r="N98" s="7" t="inlineStr"/>
      <c r="O98" s="7" t="inlineStr"/>
      <c r="P98" s="7" t="inlineStr"/>
      <c r="Q98" s="7" t="inlineStr"/>
      <c r="R98" s="7" t="inlineStr"/>
      <c r="S98" s="7" t="inlineStr"/>
      <c r="T98" s="7" t="inlineStr"/>
      <c r="U98" s="6" t="inlineStr"/>
      <c r="V98" s="6" t="inlineStr">
        <is>
          <t>scheduled-prompts/weekly-pd-update.md:91; scheduled-prompts/sjs-purchasing-monthly-rollup-and-snapshot.md:79</t>
        </is>
      </c>
      <c r="W98" s="6" t="inlineStr">
        <is>
          <t>Nothing commits until Alvin says go. Same pattern across all 23 Routines, including the ones that fire unattended on a schedule. A and R both AB.</t>
        </is>
      </c>
    </row>
    <row r="99">
      <c r="A99" s="5" t="inlineStr">
        <is>
          <t>IT / Systems &amp; Data</t>
        </is>
      </c>
      <c r="B99" s="6" t="inlineStr">
        <is>
          <t>RACI and role framework across Operations and PD</t>
        </is>
      </c>
      <c r="C99" s="7" t="inlineStr"/>
      <c r="D99" s="7" t="inlineStr">
        <is>
          <t>C</t>
        </is>
      </c>
      <c r="E99" s="9" t="inlineStr">
        <is>
          <t>A</t>
        </is>
      </c>
      <c r="F99" s="8" t="inlineStr">
        <is>
          <t>R</t>
        </is>
      </c>
      <c r="G99" s="7" t="inlineStr"/>
      <c r="H99" s="7" t="inlineStr"/>
      <c r="I99" s="7" t="inlineStr"/>
      <c r="J99" s="7" t="inlineStr"/>
      <c r="K99" s="7" t="inlineStr"/>
      <c r="L99" s="7" t="inlineStr"/>
      <c r="M99" s="7" t="inlineStr"/>
      <c r="N99" s="7" t="inlineStr"/>
      <c r="O99" s="7" t="inlineStr"/>
      <c r="P99" s="7" t="inlineStr"/>
      <c r="Q99" s="7" t="inlineStr"/>
      <c r="R99" s="7" t="inlineStr"/>
      <c r="S99" s="7" t="inlineStr"/>
      <c r="T99" s="7" t="inlineStr"/>
      <c r="U99" s="6" t="inlineStr"/>
      <c r="V99" s="6" t="inlineStr">
        <is>
          <t>Leadership Business Review 2026-07-30 52:12-52:39</t>
        </is>
      </c>
      <c r="W99" s="6" t="inlineStr">
        <is>
          <t>Alvin owns the framework, built with Nicole in the builder session, then to Danielle for final review before it goes to Calm HR to start recruiting.</t>
        </is>
      </c>
    </row>
    <row r="100">
      <c r="A100" s="5" t="inlineStr">
        <is>
          <t>IT / Systems &amp; Data</t>
        </is>
      </c>
      <c r="B100" s="6" t="inlineStr">
        <is>
          <t>Website platform, Shopify storefront and web releases</t>
        </is>
      </c>
      <c r="C100" s="7" t="inlineStr"/>
      <c r="D100" s="9" t="inlineStr">
        <is>
          <t>A</t>
        </is>
      </c>
      <c r="E100" s="7" t="inlineStr">
        <is>
          <t>I</t>
        </is>
      </c>
      <c r="F100" s="7" t="inlineStr">
        <is>
          <t>C</t>
        </is>
      </c>
      <c r="G100" s="7" t="inlineStr"/>
      <c r="H100" s="7" t="inlineStr"/>
      <c r="I100" s="7" t="inlineStr">
        <is>
          <t>C</t>
        </is>
      </c>
      <c r="J100" s="7" t="inlineStr"/>
      <c r="K100" s="7" t="inlineStr">
        <is>
          <t>C</t>
        </is>
      </c>
      <c r="L100" s="7" t="inlineStr">
        <is>
          <t>C</t>
        </is>
      </c>
      <c r="M100" s="7" t="inlineStr"/>
      <c r="N100" s="7" t="inlineStr"/>
      <c r="O100" s="7" t="inlineStr"/>
      <c r="P100" s="7" t="inlineStr"/>
      <c r="Q100" s="7" t="inlineStr"/>
      <c r="R100" s="7" t="inlineStr"/>
      <c r="S100" s="8" t="inlineStr">
        <is>
          <t>R</t>
        </is>
      </c>
      <c r="T100" s="7" t="inlineStr"/>
      <c r="U100" s="6" t="inlineStr"/>
      <c r="V100" s="6" t="inlineStr">
        <is>
          <t>Alvin, 2026-07-31 (marketing, wholesale and web)</t>
        </is>
      </c>
      <c r="W100" s="6" t="inlineStr">
        <is>
          <t>Teknologics is the web development partner. Danielle accountable; Nicole is the systems and tech owner; Erin and Ivy on visual design; Soraya consulted on merchandising and content; Alvin informed.</t>
        </is>
      </c>
    </row>
    <row r="101">
      <c r="A101" s="5" t="inlineStr">
        <is>
          <t>IT / Systems &amp; Data</t>
        </is>
      </c>
      <c r="B101" s="6" t="inlineStr">
        <is>
          <t>Web and digital systems ownership, including the Teknologics engagement</t>
        </is>
      </c>
      <c r="C101" s="7" t="inlineStr">
        <is>
          <t>I</t>
        </is>
      </c>
      <c r="D101" s="9" t="inlineStr">
        <is>
          <t>A</t>
        </is>
      </c>
      <c r="E101" s="7" t="inlineStr">
        <is>
          <t>C</t>
        </is>
      </c>
      <c r="F101" s="8" t="inlineStr">
        <is>
          <t>R</t>
        </is>
      </c>
      <c r="G101" s="7" t="inlineStr"/>
      <c r="H101" s="7" t="inlineStr"/>
      <c r="I101" s="7" t="inlineStr">
        <is>
          <t>C</t>
        </is>
      </c>
      <c r="J101" s="7" t="inlineStr"/>
      <c r="K101" s="7" t="inlineStr"/>
      <c r="L101" s="7" t="inlineStr"/>
      <c r="M101" s="7" t="inlineStr"/>
      <c r="N101" s="7" t="inlineStr"/>
      <c r="O101" s="7" t="inlineStr"/>
      <c r="P101" s="7" t="inlineStr"/>
      <c r="Q101" s="7" t="inlineStr"/>
      <c r="R101" s="7" t="inlineStr"/>
      <c r="S101" s="7" t="inlineStr">
        <is>
          <t>C</t>
        </is>
      </c>
      <c r="T101" s="7" t="inlineStr"/>
      <c r="U101" s="6" t="inlineStr"/>
      <c r="V101" s="6" t="inlineStr">
        <is>
          <t>Alvin, 2026-07-31 (marketing, wholesale and web)</t>
        </is>
      </c>
      <c r="W101" s="6" t="inlineStr">
        <is>
          <t>Nicole is the systems and tech owner for the web and digital stack. Scoped here to web and digital rather than the whole IT function - the PLM, Asana, hub-publish and Routine rows still sit with Alvin. Confirm whether that should widen.</t>
        </is>
      </c>
    </row>
    <row r="102">
      <c r="A102" s="5" t="inlineStr">
        <is>
          <t>IT / Systems &amp; Data</t>
        </is>
      </c>
      <c r="B102" s="6" t="inlineStr">
        <is>
          <t>Back-end IT infrastructure, identity and endpoint management</t>
        </is>
      </c>
      <c r="C102" s="7" t="inlineStr"/>
      <c r="D102" s="7" t="inlineStr">
        <is>
          <t>I</t>
        </is>
      </c>
      <c r="E102" s="9" t="inlineStr">
        <is>
          <t>A</t>
        </is>
      </c>
      <c r="F102" s="7" t="inlineStr">
        <is>
          <t>C</t>
        </is>
      </c>
      <c r="G102" s="7" t="inlineStr"/>
      <c r="H102" s="7" t="inlineStr"/>
      <c r="I102" s="7" t="inlineStr"/>
      <c r="J102" s="7" t="inlineStr"/>
      <c r="K102" s="7" t="inlineStr"/>
      <c r="L102" s="7" t="inlineStr"/>
      <c r="M102" s="7" t="inlineStr"/>
      <c r="N102" s="7" t="inlineStr"/>
      <c r="O102" s="7" t="inlineStr"/>
      <c r="P102" s="7" t="inlineStr"/>
      <c r="Q102" s="7" t="inlineStr"/>
      <c r="R102" s="7" t="inlineStr"/>
      <c r="S102" s="7" t="inlineStr"/>
      <c r="T102" s="8" t="inlineStr">
        <is>
          <t>R</t>
        </is>
      </c>
      <c r="U102" s="6" t="inlineStr"/>
      <c r="V102" s="6" t="inlineStr">
        <is>
          <t>Alvin, 2026-07-31 (Coastal Interactive; PD visibility)</t>
        </is>
      </c>
      <c r="W102" s="6" t="inlineStr">
        <is>
          <t>Coastal Interactive is the managed service provider and handles the higher-level IT and systems work. Alvin is the liaison and answers for it. Distinct from the web and digital stack, which sits with Danielle and Nicole.</t>
        </is>
      </c>
    </row>
    <row r="103">
      <c r="A103" s="5" t="inlineStr">
        <is>
          <t>IT / Systems &amp; Data</t>
        </is>
      </c>
      <c r="B103" s="6" t="inlineStr">
        <is>
          <t>Equipment procurement, onboarding and asset lifecycle</t>
        </is>
      </c>
      <c r="C103" s="7" t="inlineStr"/>
      <c r="D103" s="7" t="inlineStr">
        <is>
          <t>I</t>
        </is>
      </c>
      <c r="E103" s="9" t="inlineStr">
        <is>
          <t>A</t>
        </is>
      </c>
      <c r="F103" s="7" t="inlineStr">
        <is>
          <t>C</t>
        </is>
      </c>
      <c r="G103" s="7" t="inlineStr">
        <is>
          <t>-&gt;</t>
        </is>
      </c>
      <c r="H103" s="7" t="inlineStr"/>
      <c r="I103" s="7" t="inlineStr"/>
      <c r="J103" s="7" t="inlineStr"/>
      <c r="K103" s="7" t="inlineStr"/>
      <c r="L103" s="7" t="inlineStr"/>
      <c r="M103" s="7" t="inlineStr"/>
      <c r="N103" s="7" t="inlineStr"/>
      <c r="O103" s="7" t="inlineStr"/>
      <c r="P103" s="7" t="inlineStr"/>
      <c r="Q103" s="7" t="inlineStr">
        <is>
          <t>C</t>
        </is>
      </c>
      <c r="R103" s="7" t="inlineStr"/>
      <c r="S103" s="7" t="inlineStr"/>
      <c r="T103" s="8" t="inlineStr">
        <is>
          <t>R</t>
        </is>
      </c>
      <c r="U103" s="6" t="inlineStr">
        <is>
          <t>Operations Specialist</t>
        </is>
      </c>
      <c r="V103" s="6" t="inlineStr">
        <is>
          <t>Alvin, 2026-07-31 (Coastal Interactive; PD visibility)</t>
        </is>
      </c>
      <c r="W103" s="6" t="inlineStr">
        <is>
          <t>Coastal Interactive provisions and recovers equipment. Pairs with the Calm HR employment side on every start and every exit - the departed-role-holder checklist covers the systems half. Transitions to the Operations Specialist on hire.</t>
        </is>
      </c>
    </row>
    <row r="104">
      <c r="A104" s="5" t="inlineStr">
        <is>
          <t>IT / Systems &amp; Data</t>
        </is>
      </c>
      <c r="B104" s="6" t="inlineStr">
        <is>
          <t>Coastal Interactive managed-service engagement and escalation</t>
        </is>
      </c>
      <c r="C104" s="7" t="inlineStr"/>
      <c r="D104" s="7" t="inlineStr">
        <is>
          <t>C</t>
        </is>
      </c>
      <c r="E104" s="9" t="inlineStr">
        <is>
          <t>A/R</t>
        </is>
      </c>
      <c r="F104" s="7" t="inlineStr">
        <is>
          <t>C</t>
        </is>
      </c>
      <c r="G104" s="7" t="inlineStr"/>
      <c r="H104" s="7" t="inlineStr"/>
      <c r="I104" s="7" t="inlineStr"/>
      <c r="J104" s="7" t="inlineStr"/>
      <c r="K104" s="7" t="inlineStr"/>
      <c r="L104" s="7" t="inlineStr"/>
      <c r="M104" s="7" t="inlineStr"/>
      <c r="N104" s="7" t="inlineStr"/>
      <c r="O104" s="7" t="inlineStr"/>
      <c r="P104" s="7" t="inlineStr"/>
      <c r="Q104" s="7" t="inlineStr"/>
      <c r="R104" s="7" t="inlineStr"/>
      <c r="S104" s="7" t="inlineStr"/>
      <c r="T104" s="7" t="inlineStr">
        <is>
          <t>C</t>
        </is>
      </c>
      <c r="U104" s="6" t="inlineStr"/>
      <c r="V104" s="6" t="inlineStr">
        <is>
          <t>Alvin, 2026-07-31 (Coastal Interactive; PD visibility)</t>
        </is>
      </c>
      <c r="W104" s="6" t="inlineStr">
        <is>
          <t>A and R both Alvin - he is the sole liaison to the IT managed-service partner. Same single-point shape as the other partner relationships.</t>
        </is>
      </c>
    </row>
    <row r="106">
      <c r="A106" s="10" t="inlineStr">
        <is>
          <t>Legend</t>
        </is>
      </c>
    </row>
    <row r="107">
      <c r="A107" s="11" t="n"/>
      <c r="B107" s="12" t="inlineStr">
        <is>
          <t>A = answers for the outcome (at least one per row, and it can be shared)</t>
        </is>
      </c>
    </row>
    <row r="108">
      <c r="A108" s="13" t="n"/>
      <c r="B108" s="12" t="inlineStr">
        <is>
          <t>R = does the work (exactly one per row)</t>
        </is>
      </c>
    </row>
    <row r="109">
      <c r="A109" s="11" t="n"/>
      <c r="B109" s="12" t="inlineStr">
        <is>
          <t>A/R = the same person holds both, so the row has no second pair of eyes</t>
        </is>
      </c>
    </row>
    <row r="110">
      <c r="B110" s="12" t="inlineStr">
        <is>
          <t>C = consulted before the decision</t>
        </is>
      </c>
    </row>
    <row r="111">
      <c r="B111" s="12" t="inlineStr">
        <is>
          <t>I = informed after it</t>
        </is>
      </c>
    </row>
    <row r="112">
      <c r="B112" s="12" t="inlineStr">
        <is>
          <t>-&gt; = the open seat that absorbs R on hire. Open seats never hold A or R.</t>
        </is>
      </c>
    </row>
    <row r="114">
      <c r="A114" s="10" t="inlineStr">
        <is>
          <t>Positions</t>
        </is>
      </c>
    </row>
    <row r="115">
      <c r="A115" s="14" t="inlineStr">
        <is>
          <t>Code</t>
        </is>
      </c>
      <c r="B115" s="14" t="inlineStr">
        <is>
          <t>Position</t>
        </is>
      </c>
      <c r="C115" s="14" t="inlineStr">
        <is>
          <t>Holder</t>
        </is>
      </c>
      <c r="D115" s="14" t="inlineStr">
        <is>
          <t>Status</t>
        </is>
      </c>
      <c r="E115" s="14" t="inlineStr">
        <is>
          <t>A count</t>
        </is>
      </c>
      <c r="F115" s="14" t="inlineStr">
        <is>
          <t>R count</t>
        </is>
      </c>
      <c r="G115" s="14" t="inlineStr">
        <is>
          <t>Both</t>
        </is>
      </c>
      <c r="H115" s="14" t="inlineStr">
        <is>
          <t>Hands off</t>
        </is>
      </c>
      <c r="I115" s="14" t="inlineStr">
        <is>
          <t>Absorbs</t>
        </is>
      </c>
    </row>
    <row r="116">
      <c r="A116" s="12" t="inlineStr">
        <is>
          <t>AC</t>
        </is>
      </c>
      <c r="B116" s="12" t="inlineStr">
        <is>
          <t>Owner / Founder</t>
        </is>
      </c>
      <c r="C116" s="12" t="inlineStr">
        <is>
          <t>Ayesha Curry</t>
        </is>
      </c>
      <c r="D116" s="12" t="inlineStr">
        <is>
          <t>filled</t>
        </is>
      </c>
      <c r="E116" s="15" t="n">
        <v>1</v>
      </c>
      <c r="F116" s="15" t="n">
        <v>0</v>
      </c>
      <c r="G116" s="15" t="n">
        <v>0</v>
      </c>
      <c r="H116" s="15" t="n">
        <v>0</v>
      </c>
      <c r="I116" s="15" t="n">
        <v>0</v>
      </c>
    </row>
    <row r="117">
      <c r="A117" s="12" t="inlineStr">
        <is>
          <t>DI</t>
        </is>
      </c>
      <c r="B117" s="12" t="inlineStr">
        <is>
          <t>President</t>
        </is>
      </c>
      <c r="C117" s="12" t="inlineStr">
        <is>
          <t>Danielle Iturbe</t>
        </is>
      </c>
      <c r="D117" s="12" t="inlineStr">
        <is>
          <t>filled</t>
        </is>
      </c>
      <c r="E117" s="15" t="n">
        <v>8</v>
      </c>
      <c r="F117" s="15" t="n">
        <v>0</v>
      </c>
      <c r="G117" s="15" t="n">
        <v>0</v>
      </c>
      <c r="H117" s="15" t="n">
        <v>0</v>
      </c>
      <c r="I117" s="15" t="n">
        <v>0</v>
      </c>
    </row>
    <row r="118">
      <c r="A118" s="12" t="inlineStr">
        <is>
          <t>AB</t>
        </is>
      </c>
      <c r="B118" s="12" t="inlineStr">
        <is>
          <t>VP of Operations</t>
        </is>
      </c>
      <c r="C118" s="12" t="inlineStr">
        <is>
          <t>Alvin Belt</t>
        </is>
      </c>
      <c r="D118" s="12" t="inlineStr">
        <is>
          <t>filled</t>
        </is>
      </c>
      <c r="E118" s="15" t="n">
        <v>46</v>
      </c>
      <c r="F118" s="15" t="n">
        <v>58</v>
      </c>
      <c r="G118" s="15" t="n">
        <v>30</v>
      </c>
      <c r="H118" s="15" t="n">
        <v>30</v>
      </c>
      <c r="I118" s="15" t="n">
        <v>0</v>
      </c>
    </row>
    <row r="119">
      <c r="A119" s="12" t="inlineStr">
        <is>
          <t>NI</t>
        </is>
      </c>
      <c r="B119" s="12" t="inlineStr">
        <is>
          <t>Sr. Director, Consumer Strategy &amp; Operations</t>
        </is>
      </c>
      <c r="C119" s="12" t="inlineStr">
        <is>
          <t>Nicole Iturbe</t>
        </is>
      </c>
      <c r="D119" s="12" t="inlineStr">
        <is>
          <t>filled</t>
        </is>
      </c>
      <c r="E119" s="15" t="n">
        <v>26</v>
      </c>
      <c r="F119" s="15" t="n">
        <v>14</v>
      </c>
      <c r="G119" s="15" t="n">
        <v>7</v>
      </c>
      <c r="H119" s="15" t="n">
        <v>3</v>
      </c>
      <c r="I119" s="15" t="n">
        <v>0</v>
      </c>
    </row>
    <row r="120">
      <c r="A120" s="12" t="inlineStr">
        <is>
          <t>OPS</t>
        </is>
      </c>
      <c r="B120" s="12" t="inlineStr">
        <is>
          <t>Operations Specialist</t>
        </is>
      </c>
      <c r="C120" s="12" t="inlineStr">
        <is>
          <t>Open seat</t>
        </is>
      </c>
      <c r="D120" s="16" t="inlineStr">
        <is>
          <t>recruiting</t>
        </is>
      </c>
      <c r="E120" s="15" t="n">
        <v>0</v>
      </c>
      <c r="F120" s="15" t="n">
        <v>0</v>
      </c>
      <c r="G120" s="15" t="n">
        <v>0</v>
      </c>
      <c r="H120" s="15" t="n">
        <v>0</v>
      </c>
      <c r="I120" s="15" t="n">
        <v>18</v>
      </c>
    </row>
    <row r="121">
      <c r="A121" s="12" t="inlineStr">
        <is>
          <t>PDS</t>
        </is>
      </c>
      <c r="B121" s="12" t="inlineStr">
        <is>
          <t>Product Development Specialist</t>
        </is>
      </c>
      <c r="C121" s="12" t="inlineStr">
        <is>
          <t>Open seat</t>
        </is>
      </c>
      <c r="D121" s="16" t="inlineStr">
        <is>
          <t>phased</t>
        </is>
      </c>
      <c r="E121" s="15" t="n">
        <v>0</v>
      </c>
      <c r="F121" s="15" t="n">
        <v>0</v>
      </c>
      <c r="G121" s="15" t="n">
        <v>0</v>
      </c>
      <c r="H121" s="15" t="n">
        <v>0</v>
      </c>
      <c r="I121" s="15" t="n">
        <v>16</v>
      </c>
    </row>
    <row r="122">
      <c r="A122" s="12" t="inlineStr">
        <is>
          <t>SS</t>
        </is>
      </c>
      <c r="B122" s="12" t="inlineStr">
        <is>
          <t>Marketing Manager</t>
        </is>
      </c>
      <c r="C122" s="12" t="inlineStr">
        <is>
          <t>Soraya Salgadoe</t>
        </is>
      </c>
      <c r="D122" s="12" t="inlineStr">
        <is>
          <t>filled</t>
        </is>
      </c>
      <c r="E122" s="15" t="n">
        <v>8</v>
      </c>
      <c r="F122" s="15" t="n">
        <v>6</v>
      </c>
      <c r="G122" s="15" t="n">
        <v>3</v>
      </c>
      <c r="H122" s="15" t="n">
        <v>0</v>
      </c>
      <c r="I122" s="15" t="n">
        <v>0</v>
      </c>
    </row>
    <row r="123">
      <c r="A123" s="12" t="inlineStr">
        <is>
          <t>KL</t>
        </is>
      </c>
      <c r="B123" s="12" t="inlineStr">
        <is>
          <t>Social Media Coordinator</t>
        </is>
      </c>
      <c r="C123" s="12" t="inlineStr">
        <is>
          <t>Kate Le</t>
        </is>
      </c>
      <c r="D123" s="12" t="inlineStr">
        <is>
          <t>filled</t>
        </is>
      </c>
      <c r="E123" s="15" t="n">
        <v>1</v>
      </c>
      <c r="F123" s="15" t="n">
        <v>4</v>
      </c>
      <c r="G123" s="15" t="n">
        <v>1</v>
      </c>
      <c r="H123" s="15" t="n">
        <v>0</v>
      </c>
      <c r="I123" s="15" t="n">
        <v>0</v>
      </c>
    </row>
    <row r="124">
      <c r="A124" s="12" t="inlineStr">
        <is>
          <t>EH</t>
        </is>
      </c>
      <c r="B124" s="12" t="inlineStr">
        <is>
          <t>Creative Director</t>
        </is>
      </c>
      <c r="C124" s="12" t="inlineStr">
        <is>
          <t>Erin Hover</t>
        </is>
      </c>
      <c r="D124" s="12" t="inlineStr">
        <is>
          <t>contractor</t>
        </is>
      </c>
      <c r="E124" s="15" t="n">
        <v>4</v>
      </c>
      <c r="F124" s="15" t="n">
        <v>2</v>
      </c>
      <c r="G124" s="15" t="n">
        <v>1</v>
      </c>
      <c r="H124" s="15" t="n">
        <v>0</v>
      </c>
      <c r="I124" s="15" t="n">
        <v>0</v>
      </c>
    </row>
    <row r="125">
      <c r="A125" s="12" t="inlineStr">
        <is>
          <t>IT</t>
        </is>
      </c>
      <c r="B125" s="12" t="inlineStr">
        <is>
          <t>Creative / Design Coordinator</t>
        </is>
      </c>
      <c r="C125" s="12" t="inlineStr">
        <is>
          <t>Ivy Tan</t>
        </is>
      </c>
      <c r="D125" s="12" t="inlineStr">
        <is>
          <t>filled</t>
        </is>
      </c>
      <c r="E125" s="15" t="n">
        <v>1</v>
      </c>
      <c r="F125" s="15" t="n">
        <v>1</v>
      </c>
      <c r="G125" s="15" t="n">
        <v>1</v>
      </c>
      <c r="H125" s="15" t="n">
        <v>0</v>
      </c>
      <c r="I125" s="15" t="n">
        <v>0</v>
      </c>
    </row>
    <row r="126">
      <c r="A126" s="12" t="inlineStr">
        <is>
          <t>JH</t>
        </is>
      </c>
      <c r="B126" s="12" t="inlineStr">
        <is>
          <t>Packaging Engineer</t>
        </is>
      </c>
      <c r="C126" s="12" t="inlineStr">
        <is>
          <t>Jan Haeck</t>
        </is>
      </c>
      <c r="D126" s="12" t="inlineStr">
        <is>
          <t>contractor</t>
        </is>
      </c>
      <c r="E126" s="15" t="n">
        <v>0</v>
      </c>
      <c r="F126" s="15" t="n">
        <v>2</v>
      </c>
      <c r="G126" s="15" t="n">
        <v>0</v>
      </c>
      <c r="H126" s="15" t="n">
        <v>0</v>
      </c>
      <c r="I126" s="15" t="n">
        <v>0</v>
      </c>
    </row>
    <row r="127">
      <c r="A127" s="12" t="inlineStr">
        <is>
          <t>PC</t>
        </is>
      </c>
      <c r="B127" s="12" t="inlineStr">
        <is>
          <t>PD / R&amp;D contractor, Milinyc</t>
        </is>
      </c>
      <c r="C127" s="12" t="inlineStr">
        <is>
          <t>Perrine Calvet</t>
        </is>
      </c>
      <c r="D127" s="12" t="inlineStr">
        <is>
          <t>contractor</t>
        </is>
      </c>
      <c r="E127" s="15" t="n">
        <v>7</v>
      </c>
      <c r="F127" s="15" t="n">
        <v>2</v>
      </c>
      <c r="G127" s="15" t="n">
        <v>1</v>
      </c>
      <c r="H127" s="15" t="n">
        <v>0</v>
      </c>
      <c r="I127" s="15" t="n">
        <v>0</v>
      </c>
    </row>
    <row r="128">
      <c r="A128" s="12" t="inlineStr">
        <is>
          <t>PR</t>
        </is>
      </c>
      <c r="B128" s="12" t="inlineStr">
        <is>
          <t>External regulatory partner</t>
        </is>
      </c>
      <c r="C128" s="12" t="inlineStr">
        <is>
          <t>Pedrero Regulatory</t>
        </is>
      </c>
      <c r="D128" s="12" t="inlineStr">
        <is>
          <t>partner</t>
        </is>
      </c>
      <c r="E128" s="15" t="n">
        <v>0</v>
      </c>
      <c r="F128" s="15" t="n">
        <v>0</v>
      </c>
      <c r="G128" s="15" t="n">
        <v>0</v>
      </c>
      <c r="H128" s="15" t="n">
        <v>0</v>
      </c>
      <c r="I128" s="15" t="n">
        <v>0</v>
      </c>
    </row>
    <row r="129">
      <c r="A129" s="12" t="inlineStr">
        <is>
          <t>IF</t>
        </is>
      </c>
      <c r="B129" s="12" t="inlineStr">
        <is>
          <t>Outsourced finance (Dan Bender)</t>
        </is>
      </c>
      <c r="C129" s="12" t="inlineStr">
        <is>
          <t>Ironclad Finance</t>
        </is>
      </c>
      <c r="D129" s="12" t="inlineStr">
        <is>
          <t>partner</t>
        </is>
      </c>
      <c r="E129" s="15" t="n">
        <v>0</v>
      </c>
      <c r="F129" s="15" t="n">
        <v>4</v>
      </c>
      <c r="G129" s="15" t="n">
        <v>0</v>
      </c>
      <c r="H129" s="15" t="n">
        <v>0</v>
      </c>
      <c r="I129" s="15" t="n">
        <v>0</v>
      </c>
    </row>
    <row r="130">
      <c r="A130" s="12" t="inlineStr">
        <is>
          <t>CH</t>
        </is>
      </c>
      <c r="B130" s="12" t="inlineStr">
        <is>
          <t>PEO and co-employer</t>
        </is>
      </c>
      <c r="C130" s="12" t="inlineStr">
        <is>
          <t>Calm HR</t>
        </is>
      </c>
      <c r="D130" s="12" t="inlineStr">
        <is>
          <t>partner</t>
        </is>
      </c>
      <c r="E130" s="15" t="n">
        <v>0</v>
      </c>
      <c r="F130" s="15" t="n">
        <v>4</v>
      </c>
      <c r="G130" s="15" t="n">
        <v>0</v>
      </c>
      <c r="H130" s="15" t="n">
        <v>0</v>
      </c>
      <c r="I130" s="15" t="n">
        <v>0</v>
      </c>
    </row>
    <row r="131">
      <c r="A131" s="12" t="inlineStr">
        <is>
          <t>WI</t>
        </is>
      </c>
      <c r="B131" s="12" t="inlineStr">
        <is>
          <t>Digital marketing agency</t>
        </is>
      </c>
      <c r="C131" s="12" t="inlineStr">
        <is>
          <t>WITHIN</t>
        </is>
      </c>
      <c r="D131" s="12" t="inlineStr">
        <is>
          <t>partner</t>
        </is>
      </c>
      <c r="E131" s="15" t="n">
        <v>0</v>
      </c>
      <c r="F131" s="15" t="n">
        <v>2</v>
      </c>
      <c r="G131" s="15" t="n">
        <v>0</v>
      </c>
      <c r="H131" s="15" t="n">
        <v>0</v>
      </c>
      <c r="I131" s="15" t="n">
        <v>0</v>
      </c>
    </row>
    <row r="132">
      <c r="A132" s="12" t="inlineStr">
        <is>
          <t>TK</t>
        </is>
      </c>
      <c r="B132" s="12" t="inlineStr">
        <is>
          <t>Web development</t>
        </is>
      </c>
      <c r="C132" s="12" t="inlineStr">
        <is>
          <t>Teknologics</t>
        </is>
      </c>
      <c r="D132" s="12" t="inlineStr">
        <is>
          <t>partner</t>
        </is>
      </c>
      <c r="E132" s="15" t="n">
        <v>0</v>
      </c>
      <c r="F132" s="15" t="n">
        <v>1</v>
      </c>
      <c r="G132" s="15" t="n">
        <v>0</v>
      </c>
      <c r="H132" s="15" t="n">
        <v>0</v>
      </c>
      <c r="I132" s="15" t="n">
        <v>0</v>
      </c>
    </row>
    <row r="133">
      <c r="A133" s="12" t="inlineStr">
        <is>
          <t>CI</t>
        </is>
      </c>
      <c r="B133" s="12" t="inlineStr">
        <is>
          <t>Managed IT service provider</t>
        </is>
      </c>
      <c r="C133" s="12" t="inlineStr">
        <is>
          <t>Coastal Interactive</t>
        </is>
      </c>
      <c r="D133" s="12" t="inlineStr">
        <is>
          <t>partner</t>
        </is>
      </c>
      <c r="E133" s="15" t="n">
        <v>0</v>
      </c>
      <c r="F133" s="15" t="n">
        <v>2</v>
      </c>
      <c r="G133" s="15" t="n">
        <v>0</v>
      </c>
      <c r="H133" s="15" t="n">
        <v>1</v>
      </c>
      <c r="I133" s="15" t="n">
        <v>0</v>
      </c>
    </row>
    <row r="135">
      <c r="A135" s="14" t="inlineStr">
        <is>
          <t>Source of truth</t>
        </is>
      </c>
      <c r="B135" s="17" t="inlineStr">
        <is>
          <t>Rows citing a path are relative to the SJ-OS repo. Rows prefixed acb-thelanding cite the AC Brands landing hub, whose links.json defines eleven functions with a named lead each. Rows citing the 30 July leadership review, the 27 July email to Danielle, a job description, or Alvin directly come from those sources. Every row on this matrix has an owner - there are no inferred owners left.</t>
        </is>
      </c>
    </row>
  </sheetData>
  <autoFilter ref="A2:W1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cols>
    <col width="112" customWidth="1" min="1" max="1"/>
    <col width="9" customWidth="1" min="2" max="2"/>
    <col width="9" customWidth="1" min="3" max="3"/>
    <col width="9" customWidth="1" min="4" max="4"/>
    <col width="11" customWidth="1" min="5" max="5"/>
    <col width="10" customWidth="1" min="6" max="6"/>
    <col width="10" customWidth="1" min="7" max="7"/>
    <col width="10" customWidth="1" min="8" max="8"/>
  </cols>
  <sheetData>
    <row r="1" ht="15" customHeight="1">
      <c r="A1" s="18" t="inlineStr">
        <is>
          <t>Ownership concentration, coverage gaps, and what the two seats move</t>
        </is>
      </c>
    </row>
    <row r="2">
      <c r="A2" t="inlineStr"/>
    </row>
    <row r="3" ht="26" customHeight="1">
      <c r="A3" s="17" t="inlineStr">
        <is>
          <t>Counts are live formulas over the RACI sheet, so they move if a row changes. Read against the matrix. Reflects the 30 July 2026 leadership review and the 31 July role corrections.</t>
        </is>
      </c>
    </row>
    <row r="4">
      <c r="A4" t="inlineStr"/>
    </row>
    <row r="5">
      <c r="A5" s="19" t="inlineStr">
        <is>
          <t>Position and holder</t>
        </is>
      </c>
      <c r="B5" s="20" t="inlineStr">
        <is>
          <t>A</t>
        </is>
      </c>
      <c r="C5" s="20" t="inlineStr">
        <is>
          <t>R</t>
        </is>
      </c>
      <c r="D5" s="20" t="inlineStr">
        <is>
          <t>A/R</t>
        </is>
      </c>
      <c r="E5" s="20" t="inlineStr">
        <is>
          <t>Hands off</t>
        </is>
      </c>
      <c r="F5" s="20" t="inlineStr">
        <is>
          <t>Absorbs</t>
        </is>
      </c>
      <c r="G5" s="20" t="inlineStr">
        <is>
          <t>A after</t>
        </is>
      </c>
      <c r="H5" s="20" t="inlineStr">
        <is>
          <t>R after</t>
        </is>
      </c>
    </row>
    <row r="6">
      <c r="A6" s="12" t="inlineStr">
        <is>
          <t>AC: Owner / Founder (Ayesha Curry)</t>
        </is>
      </c>
      <c r="B6" s="15">
        <f>COUNTIF(RACI!C3:C104,"A")+COUNTIF(RACI!C3:C104,"A/R")</f>
        <v/>
      </c>
      <c r="C6" s="15">
        <f>COUNTIF(RACI!C3:C104,"R")+COUNTIF(RACI!C3:C104,"A/R")</f>
        <v/>
      </c>
      <c r="D6" s="15">
        <f>COUNTIF(RACI!C3:C104,"A/R")</f>
        <v/>
      </c>
      <c r="E6" s="15" t="n">
        <v>0</v>
      </c>
      <c r="F6" s="15" t="n">
        <v>0</v>
      </c>
      <c r="G6" s="15">
        <f>B6</f>
        <v/>
      </c>
      <c r="H6" s="15">
        <f>C6-E6+F6</f>
        <v/>
      </c>
    </row>
    <row r="7">
      <c r="A7" s="12" t="inlineStr">
        <is>
          <t>DI: President (Danielle Iturbe)</t>
        </is>
      </c>
      <c r="B7" s="15">
        <f>COUNTIF(RACI!D3:D104,"A")+COUNTIF(RACI!D3:D104,"A/R")</f>
        <v/>
      </c>
      <c r="C7" s="15">
        <f>COUNTIF(RACI!D3:D104,"R")+COUNTIF(RACI!D3:D104,"A/R")</f>
        <v/>
      </c>
      <c r="D7" s="15">
        <f>COUNTIF(RACI!D3:D104,"A/R")</f>
        <v/>
      </c>
      <c r="E7" s="15" t="n">
        <v>0</v>
      </c>
      <c r="F7" s="15" t="n">
        <v>0</v>
      </c>
      <c r="G7" s="15">
        <f>B7</f>
        <v/>
      </c>
      <c r="H7" s="15">
        <f>C7-E7+F7</f>
        <v/>
      </c>
    </row>
    <row r="8">
      <c r="A8" s="12" t="inlineStr">
        <is>
          <t>AB: VP of Operations (Alvin Belt)</t>
        </is>
      </c>
      <c r="B8" s="15">
        <f>COUNTIF(RACI!E3:E104,"A")+COUNTIF(RACI!E3:E104,"A/R")</f>
        <v/>
      </c>
      <c r="C8" s="15">
        <f>COUNTIF(RACI!E3:E104,"R")+COUNTIF(RACI!E3:E104,"A/R")</f>
        <v/>
      </c>
      <c r="D8" s="15">
        <f>COUNTIF(RACI!E3:E104,"A/R")</f>
        <v/>
      </c>
      <c r="E8" s="15" t="n">
        <v>30</v>
      </c>
      <c r="F8" s="15" t="n">
        <v>0</v>
      </c>
      <c r="G8" s="15">
        <f>B8</f>
        <v/>
      </c>
      <c r="H8" s="15">
        <f>C8-E8+F8</f>
        <v/>
      </c>
    </row>
    <row r="9">
      <c r="A9" s="12" t="inlineStr">
        <is>
          <t>NI: Sr. Director, Consumer Strategy &amp; Operations (Nicole Iturbe)</t>
        </is>
      </c>
      <c r="B9" s="15">
        <f>COUNTIF(RACI!F3:F104,"A")+COUNTIF(RACI!F3:F104,"A/R")</f>
        <v/>
      </c>
      <c r="C9" s="15">
        <f>COUNTIF(RACI!F3:F104,"R")+COUNTIF(RACI!F3:F104,"A/R")</f>
        <v/>
      </c>
      <c r="D9" s="15">
        <f>COUNTIF(RACI!F3:F104,"A/R")</f>
        <v/>
      </c>
      <c r="E9" s="15" t="n">
        <v>3</v>
      </c>
      <c r="F9" s="15" t="n">
        <v>0</v>
      </c>
      <c r="G9" s="15">
        <f>B9</f>
        <v/>
      </c>
      <c r="H9" s="15">
        <f>C9-E9+F9</f>
        <v/>
      </c>
    </row>
    <row r="10">
      <c r="A10" s="12" t="inlineStr">
        <is>
          <t>OPS: Operations Specialist (Open seat)</t>
        </is>
      </c>
      <c r="B10" s="15">
        <f>COUNTIF(RACI!G3:G104,"A")+COUNTIF(RACI!G3:G104,"A/R")</f>
        <v/>
      </c>
      <c r="C10" s="15">
        <f>COUNTIF(RACI!G3:G104,"R")+COUNTIF(RACI!G3:G104,"A/R")</f>
        <v/>
      </c>
      <c r="D10" s="15">
        <f>COUNTIF(RACI!G3:G104,"A/R")</f>
        <v/>
      </c>
      <c r="E10" s="15" t="n">
        <v>0</v>
      </c>
      <c r="F10" s="15" t="n">
        <v>18</v>
      </c>
      <c r="G10" s="15">
        <f>B10</f>
        <v/>
      </c>
      <c r="H10" s="15">
        <f>C10-E10+F10</f>
        <v/>
      </c>
    </row>
    <row r="11">
      <c r="A11" s="12" t="inlineStr">
        <is>
          <t>PDS: Product Development Specialist (Open seat)</t>
        </is>
      </c>
      <c r="B11" s="15">
        <f>COUNTIF(RACI!H3:H104,"A")+COUNTIF(RACI!H3:H104,"A/R")</f>
        <v/>
      </c>
      <c r="C11" s="15">
        <f>COUNTIF(RACI!H3:H104,"R")+COUNTIF(RACI!H3:H104,"A/R")</f>
        <v/>
      </c>
      <c r="D11" s="15">
        <f>COUNTIF(RACI!H3:H104,"A/R")</f>
        <v/>
      </c>
      <c r="E11" s="15" t="n">
        <v>0</v>
      </c>
      <c r="F11" s="15" t="n">
        <v>16</v>
      </c>
      <c r="G11" s="15">
        <f>B11</f>
        <v/>
      </c>
      <c r="H11" s="15">
        <f>C11-E11+F11</f>
        <v/>
      </c>
    </row>
    <row r="12">
      <c r="A12" s="12" t="inlineStr">
        <is>
          <t>SS: Marketing Manager (Soraya Salgadoe)</t>
        </is>
      </c>
      <c r="B12" s="15">
        <f>COUNTIF(RACI!I3:I104,"A")+COUNTIF(RACI!I3:I104,"A/R")</f>
        <v/>
      </c>
      <c r="C12" s="15">
        <f>COUNTIF(RACI!I3:I104,"R")+COUNTIF(RACI!I3:I104,"A/R")</f>
        <v/>
      </c>
      <c r="D12" s="15">
        <f>COUNTIF(RACI!I3:I104,"A/R")</f>
        <v/>
      </c>
      <c r="E12" s="15" t="n">
        <v>0</v>
      </c>
      <c r="F12" s="15" t="n">
        <v>0</v>
      </c>
      <c r="G12" s="15">
        <f>B12</f>
        <v/>
      </c>
      <c r="H12" s="15">
        <f>C12-E12+F12</f>
        <v/>
      </c>
    </row>
    <row r="13">
      <c r="A13" s="12" t="inlineStr">
        <is>
          <t>KL: Social Media Coordinator (Kate Le)</t>
        </is>
      </c>
      <c r="B13" s="15">
        <f>COUNTIF(RACI!J3:J104,"A")+COUNTIF(RACI!J3:J104,"A/R")</f>
        <v/>
      </c>
      <c r="C13" s="15">
        <f>COUNTIF(RACI!J3:J104,"R")+COUNTIF(RACI!J3:J104,"A/R")</f>
        <v/>
      </c>
      <c r="D13" s="15">
        <f>COUNTIF(RACI!J3:J104,"A/R")</f>
        <v/>
      </c>
      <c r="E13" s="15" t="n">
        <v>0</v>
      </c>
      <c r="F13" s="15" t="n">
        <v>0</v>
      </c>
      <c r="G13" s="15">
        <f>B13</f>
        <v/>
      </c>
      <c r="H13" s="15">
        <f>C13-E13+F13</f>
        <v/>
      </c>
    </row>
    <row r="14">
      <c r="A14" s="12" t="inlineStr">
        <is>
          <t>EH: Creative Director (Erin Hover)</t>
        </is>
      </c>
      <c r="B14" s="15">
        <f>COUNTIF(RACI!K3:K104,"A")+COUNTIF(RACI!K3:K104,"A/R")</f>
        <v/>
      </c>
      <c r="C14" s="15">
        <f>COUNTIF(RACI!K3:K104,"R")+COUNTIF(RACI!K3:K104,"A/R")</f>
        <v/>
      </c>
      <c r="D14" s="15">
        <f>COUNTIF(RACI!K3:K104,"A/R")</f>
        <v/>
      </c>
      <c r="E14" s="15" t="n">
        <v>0</v>
      </c>
      <c r="F14" s="15" t="n">
        <v>0</v>
      </c>
      <c r="G14" s="15">
        <f>B14</f>
        <v/>
      </c>
      <c r="H14" s="15">
        <f>C14-E14+F14</f>
        <v/>
      </c>
    </row>
    <row r="15">
      <c r="A15" s="12" t="inlineStr">
        <is>
          <t>IT: Creative / Design Coordinator (Ivy Tan)</t>
        </is>
      </c>
      <c r="B15" s="15">
        <f>COUNTIF(RACI!L3:L104,"A")+COUNTIF(RACI!L3:L104,"A/R")</f>
        <v/>
      </c>
      <c r="C15" s="15">
        <f>COUNTIF(RACI!L3:L104,"R")+COUNTIF(RACI!L3:L104,"A/R")</f>
        <v/>
      </c>
      <c r="D15" s="15">
        <f>COUNTIF(RACI!L3:L104,"A/R")</f>
        <v/>
      </c>
      <c r="E15" s="15" t="n">
        <v>0</v>
      </c>
      <c r="F15" s="15" t="n">
        <v>0</v>
      </c>
      <c r="G15" s="15">
        <f>B15</f>
        <v/>
      </c>
      <c r="H15" s="15">
        <f>C15-E15+F15</f>
        <v/>
      </c>
    </row>
    <row r="16">
      <c r="A16" s="12" t="inlineStr">
        <is>
          <t>JH: Packaging Engineer (Jan Haeck)</t>
        </is>
      </c>
      <c r="B16" s="15">
        <f>COUNTIF(RACI!M3:M104,"A")+COUNTIF(RACI!M3:M104,"A/R")</f>
        <v/>
      </c>
      <c r="C16" s="15">
        <f>COUNTIF(RACI!M3:M104,"R")+COUNTIF(RACI!M3:M104,"A/R")</f>
        <v/>
      </c>
      <c r="D16" s="15">
        <f>COUNTIF(RACI!M3:M104,"A/R")</f>
        <v/>
      </c>
      <c r="E16" s="15" t="n">
        <v>0</v>
      </c>
      <c r="F16" s="15" t="n">
        <v>0</v>
      </c>
      <c r="G16" s="15">
        <f>B16</f>
        <v/>
      </c>
      <c r="H16" s="15">
        <f>C16-E16+F16</f>
        <v/>
      </c>
    </row>
    <row r="17">
      <c r="A17" s="12" t="inlineStr">
        <is>
          <t>PC: PD / R&amp;D contractor, Milinyc (Perrine Calvet)</t>
        </is>
      </c>
      <c r="B17" s="15">
        <f>COUNTIF(RACI!N3:N104,"A")+COUNTIF(RACI!N3:N104,"A/R")</f>
        <v/>
      </c>
      <c r="C17" s="15">
        <f>COUNTIF(RACI!N3:N104,"R")+COUNTIF(RACI!N3:N104,"A/R")</f>
        <v/>
      </c>
      <c r="D17" s="15">
        <f>COUNTIF(RACI!N3:N104,"A/R")</f>
        <v/>
      </c>
      <c r="E17" s="15" t="n">
        <v>0</v>
      </c>
      <c r="F17" s="15" t="n">
        <v>0</v>
      </c>
      <c r="G17" s="15">
        <f>B17</f>
        <v/>
      </c>
      <c r="H17" s="15">
        <f>C17-E17+F17</f>
        <v/>
      </c>
    </row>
    <row r="18">
      <c r="A18" s="12" t="inlineStr">
        <is>
          <t>PR: External regulatory partner (Pedrero Regulatory)</t>
        </is>
      </c>
      <c r="B18" s="15">
        <f>COUNTIF(RACI!O3:O104,"A")+COUNTIF(RACI!O3:O104,"A/R")</f>
        <v/>
      </c>
      <c r="C18" s="15">
        <f>COUNTIF(RACI!O3:O104,"R")+COUNTIF(RACI!O3:O104,"A/R")</f>
        <v/>
      </c>
      <c r="D18" s="15">
        <f>COUNTIF(RACI!O3:O104,"A/R")</f>
        <v/>
      </c>
      <c r="E18" s="15" t="n">
        <v>0</v>
      </c>
      <c r="F18" s="15" t="n">
        <v>0</v>
      </c>
      <c r="G18" s="15">
        <f>B18</f>
        <v/>
      </c>
      <c r="H18" s="15">
        <f>C18-E18+F18</f>
        <v/>
      </c>
    </row>
    <row r="19">
      <c r="A19" s="12" t="inlineStr">
        <is>
          <t>IF: Outsourced finance (Dan Bender) (Ironclad Finance)</t>
        </is>
      </c>
      <c r="B19" s="15">
        <f>COUNTIF(RACI!P3:P104,"A")+COUNTIF(RACI!P3:P104,"A/R")</f>
        <v/>
      </c>
      <c r="C19" s="15">
        <f>COUNTIF(RACI!P3:P104,"R")+COUNTIF(RACI!P3:P104,"A/R")</f>
        <v/>
      </c>
      <c r="D19" s="15">
        <f>COUNTIF(RACI!P3:P104,"A/R")</f>
        <v/>
      </c>
      <c r="E19" s="15" t="n">
        <v>0</v>
      </c>
      <c r="F19" s="15" t="n">
        <v>0</v>
      </c>
      <c r="G19" s="15">
        <f>B19</f>
        <v/>
      </c>
      <c r="H19" s="15">
        <f>C19-E19+F19</f>
        <v/>
      </c>
    </row>
    <row r="20">
      <c r="A20" s="12" t="inlineStr">
        <is>
          <t>CH: PEO and co-employer (Calm HR)</t>
        </is>
      </c>
      <c r="B20" s="15">
        <f>COUNTIF(RACI!Q3:Q104,"A")+COUNTIF(RACI!Q3:Q104,"A/R")</f>
        <v/>
      </c>
      <c r="C20" s="15">
        <f>COUNTIF(RACI!Q3:Q104,"R")+COUNTIF(RACI!Q3:Q104,"A/R")</f>
        <v/>
      </c>
      <c r="D20" s="15">
        <f>COUNTIF(RACI!Q3:Q104,"A/R")</f>
        <v/>
      </c>
      <c r="E20" s="15" t="n">
        <v>0</v>
      </c>
      <c r="F20" s="15" t="n">
        <v>0</v>
      </c>
      <c r="G20" s="15">
        <f>B20</f>
        <v/>
      </c>
      <c r="H20" s="15">
        <f>C20-E20+F20</f>
        <v/>
      </c>
    </row>
    <row r="21">
      <c r="A21" s="12" t="inlineStr">
        <is>
          <t>WI: Digital marketing agency (WITHIN)</t>
        </is>
      </c>
      <c r="B21" s="15">
        <f>COUNTIF(RACI!R3:R104,"A")+COUNTIF(RACI!R3:R104,"A/R")</f>
        <v/>
      </c>
      <c r="C21" s="15">
        <f>COUNTIF(RACI!R3:R104,"R")+COUNTIF(RACI!R3:R104,"A/R")</f>
        <v/>
      </c>
      <c r="D21" s="15">
        <f>COUNTIF(RACI!R3:R104,"A/R")</f>
        <v/>
      </c>
      <c r="E21" s="15" t="n">
        <v>0</v>
      </c>
      <c r="F21" s="15" t="n">
        <v>0</v>
      </c>
      <c r="G21" s="15">
        <f>B21</f>
        <v/>
      </c>
      <c r="H21" s="15">
        <f>C21-E21+F21</f>
        <v/>
      </c>
    </row>
    <row r="22">
      <c r="A22" s="12" t="inlineStr">
        <is>
          <t>TK: Web development (Teknologics)</t>
        </is>
      </c>
      <c r="B22" s="15">
        <f>COUNTIF(RACI!S3:S104,"A")+COUNTIF(RACI!S3:S104,"A/R")</f>
        <v/>
      </c>
      <c r="C22" s="15">
        <f>COUNTIF(RACI!S3:S104,"R")+COUNTIF(RACI!S3:S104,"A/R")</f>
        <v/>
      </c>
      <c r="D22" s="15">
        <f>COUNTIF(RACI!S3:S104,"A/R")</f>
        <v/>
      </c>
      <c r="E22" s="15" t="n">
        <v>0</v>
      </c>
      <c r="F22" s="15" t="n">
        <v>0</v>
      </c>
      <c r="G22" s="15">
        <f>B22</f>
        <v/>
      </c>
      <c r="H22" s="15">
        <f>C22-E22+F22</f>
        <v/>
      </c>
    </row>
    <row r="23">
      <c r="A23" s="12" t="inlineStr">
        <is>
          <t>CI: Managed IT service provider (Coastal Interactive)</t>
        </is>
      </c>
      <c r="B23" s="15">
        <f>COUNTIF(RACI!T3:T104,"A")+COUNTIF(RACI!T3:T104,"A/R")</f>
        <v/>
      </c>
      <c r="C23" s="15">
        <f>COUNTIF(RACI!T3:T104,"R")+COUNTIF(RACI!T3:T104,"A/R")</f>
        <v/>
      </c>
      <c r="D23" s="15">
        <f>COUNTIF(RACI!T3:T104,"A/R")</f>
        <v/>
      </c>
      <c r="E23" s="15" t="n">
        <v>1</v>
      </c>
      <c r="F23" s="15" t="n">
        <v>0</v>
      </c>
      <c r="G23" s="15">
        <f>B23</f>
        <v/>
      </c>
      <c r="H23" s="15">
        <f>C23-E23+F23</f>
        <v/>
      </c>
    </row>
    <row r="24">
      <c r="A24" s="14" t="inlineStr">
        <is>
          <t>Total activities</t>
        </is>
      </c>
      <c r="B24" s="21">
        <f>COUNTA(RACI!B3:B104)</f>
        <v/>
      </c>
    </row>
    <row r="25">
      <c r="A25" t="inlineStr"/>
    </row>
    <row r="26">
      <c r="A26" s="22" t="inlineStr">
        <is>
          <t>"A after" and "R after" project the book once both specialist seats are filled. Hands off counts rows where this position does the work today and an incoming seat takes it. Absorbs counts rows arriving on hire.</t>
        </is>
      </c>
    </row>
    <row r="27">
      <c r="A27" t="inlineStr"/>
    </row>
    <row r="28" ht="15" customHeight="1">
      <c r="A28" s="23" t="inlineStr">
        <is>
          <t>Quality now has a gate, and it is not the VP</t>
        </is>
      </c>
    </row>
    <row r="29">
      <c r="A29" t="inlineStr"/>
    </row>
    <row r="30" ht="78" customHeight="1">
      <c r="A30" s="17" t="inlineStr">
        <is>
          <t>The 30 July leadership review moved the quality function onto Nicole. Verbatim from the recording: "Nicole taking the primary focus on the quality management side of things with quality control... anything related to quality of service or quality of product will go through Nicole's eyes as sort of that final quality check... Even with each function having or being the primary owner, we'll still have that quality gate." That shows up as 10 of the 13 Quality rows accountable to Nicole, against 2 for Alvin and 1 for Perrine. Her total book of accountability goes from 8 rows to 21.</t>
        </is>
      </c>
    </row>
    <row r="31">
      <c r="A31" t="inlineStr"/>
    </row>
    <row r="32" ht="15" customHeight="1">
      <c r="A32" s="23" t="inlineStr">
        <is>
          <t>Perrine moves to technical guidance</t>
        </is>
      </c>
    </row>
    <row r="33">
      <c r="A33" t="inlineStr"/>
    </row>
    <row r="34" ht="117" customHeight="1">
      <c r="A34" s="17" t="inlineStr">
        <is>
          <t>She keeps A on the 7 rows where the judgment is genuinely formulation - formula stage-gate, compatibility and stability and RIPT and PET, in-market stability testing, reformulation, PD-linked receipt, and the two margin rows that turn on formulation cost. Packaging development moved to Erin Hover as the lead technical authority on packaging and artwork. She moves to consulted on everything process-shaped: NCR and CAPA lifecycle, batch hold and release, vendor quality flags, lab finding classification, SOP ratification. Danielle's framing in the review was that there were things the team had assumed Perrine would manage or organize that she is not, and that leadership can pull the plug even when she has submitted an approval. Splitting technical judgment from process ownership is what that means in practice.</t>
        </is>
      </c>
    </row>
    <row r="35">
      <c r="A35" t="inlineStr"/>
    </row>
    <row r="36" ht="15" customHeight="1">
      <c r="A36" s="23" t="inlineStr">
        <is>
          <t>Three contractors hold accountability, and two of them hold it alone</t>
        </is>
      </c>
    </row>
    <row r="37">
      <c r="A37" t="inlineStr"/>
    </row>
    <row r="38" ht="104" customHeight="1">
      <c r="A38" s="17" t="inlineStr">
        <is>
          <t>Erin Hover is the lead technical authority on packaging and artwork and is accountable for 4 rows - creative direction, packaging development, artwork execution, and the label artwork archive. She is also a contractor, and on creative direction she is both A and R with no internal counterpart. Jan Haeck, who executes under her, is a contractor too, so the whole packaging and artwork chain runs through people outside the company. Perrine Calvet is the third, accountable for 7 formulation rows. Between them that is 11 of 79 activities where nobody on staff can check the work or continue it. Neither specialist job description covers creative or formulation authority, so the two hires do not close this.</t>
        </is>
      </c>
    </row>
    <row r="39">
      <c r="A39" t="inlineStr"/>
    </row>
    <row r="40" ht="15" customHeight="1">
      <c r="A40" s="23" t="inlineStr">
        <is>
          <t>Nobody is blank on a product decision</t>
        </is>
      </c>
    </row>
    <row r="41">
      <c r="A41" t="inlineStr"/>
    </row>
    <row r="42" ht="65" customHeight="1">
      <c r="A42" s="17" t="inlineStr">
        <is>
          <t>Perrine and Soraya now hold a letter on all eight Product Development rows. Perrine was blank on one - founder brand-line approval - and Soraya was blank on all eight, which meant the marketing read had no formal visibility into any product decision. Both are Informed at minimum now. That is a small change with a real effect: a blank cell on a RACI is ambiguous in a way that Informed is not, because blank does not tell you whether the omission was deliberate.</t>
        </is>
      </c>
    </row>
    <row r="43">
      <c r="A43" t="inlineStr"/>
    </row>
    <row r="44" ht="15" customHeight="1">
      <c r="A44" s="23" t="inlineStr">
        <is>
          <t>Marketing and the channels finally have owners with real activities under them</t>
        </is>
      </c>
    </row>
    <row r="45">
      <c r="A45" t="inlineStr"/>
    </row>
    <row r="46" ht="91" customHeight="1">
      <c r="A46" s="17" t="inlineStr">
        <is>
          <t>Soraya goes from 1 accountable row to 8. Marketing now carries editorial calendar, Klaviyo email, paid media, social content, influencer and earned media, the WITHIN relationship, product copy and PDP content - none of which existed on the matrix before, because none of it has a skill behind it. Nicole goes from 21 to 26 with all-channel accountability plus wholesale pipeline, retail price architecture and the retailer promo calendar. Retail &amp; Wholesale went from 2 rows to 5, Marketing from 9 to 15. A skill suite is a good source for what is automated; it is a poor source for what a business does.</t>
        </is>
      </c>
    </row>
    <row r="47">
      <c r="A47" t="inlineStr"/>
    </row>
    <row r="48" ht="15" customHeight="1">
      <c r="A48" s="23" t="inlineStr">
        <is>
          <t>Where the President and the Founder sit</t>
        </is>
      </c>
    </row>
    <row r="49">
      <c r="A49" t="inlineStr"/>
    </row>
    <row r="50" ht="104" customHeight="1">
      <c r="A50" s="17" t="inlineStr">
        <is>
          <t>Danielle Iturbe is accountable for 8 rows - direction-changing PD decisions, the margin walk-away call, brand guideline custody, campaign direction, month-end close, the annual budget, and the two web rows - and is consulted on 25 more. She now appears on all 9 Marketing rows and all 3 Creative rows, which she did not before. Campaign direction was missing from the matrix entirely; adding it is what gave the President somewhere to sit in Marketing rather than only receiving finished work. Ayesha Curry keeps sole accountability for brand-line moves and is consulted on 6 rows where the brand carries her name - brand guideline custody, creative direction, campaign direction, claim substantiation, retailer attestations, and packaging. Informed on the rest.</t>
        </is>
      </c>
    </row>
    <row r="51">
      <c r="A51" t="inlineStr"/>
    </row>
    <row r="52" ht="15" customHeight="1">
      <c r="A52" s="23" t="inlineStr">
        <is>
          <t>Alvin owns the framework, and still does most of the work</t>
        </is>
      </c>
    </row>
    <row r="53">
      <c r="A53" t="inlineStr"/>
    </row>
    <row r="54" ht="65" customHeight="1">
      <c r="A54" s="17" t="inlineStr">
        <is>
          <t>Accountable for 46 of 102 activities and doing the work on 58. The framework rows are deliberate - quality management system, SOP framework, this RACI, the skill suite, the 23 scheduled Routines. The problem is not the A column. It is that 31 rows have him as both A and R, and that he does the work on 11 of the 12 Operations rows and 5 of the 8 Product Development rows. He holds the gates and does the work behind them.</t>
        </is>
      </c>
    </row>
    <row r="55">
      <c r="A55" t="inlineStr"/>
    </row>
    <row r="56" ht="15" customHeight="1">
      <c r="A56" s="23" t="inlineStr">
        <is>
          <t>What the two seats actually move</t>
        </is>
      </c>
    </row>
    <row r="57">
      <c r="A57" t="inlineStr"/>
    </row>
    <row r="58" ht="65" customHeight="1">
      <c r="A58" s="17" t="inlineStr">
        <is>
          <t>32 rows transition on hire: 16 to the Operations Specialist and 16 to the Product Development Specialist. 29 of those come off Alvin, 3 off Nicole. His R book drops from 55 to 26. Rows with no second pair of eyes drop from 42 to 25 across the whole matrix. Both seats report to Nicole, which is the point Danielle made in the review - moving day-to-day management off the VP seat is the succession outcome the system is being built for.</t>
        </is>
      </c>
    </row>
    <row r="59">
      <c r="A59" t="inlineStr"/>
    </row>
    <row r="60" ht="15" customHeight="1">
      <c r="A60" s="23" t="inlineStr">
        <is>
          <t>Ops first is the right order, and the matrix says why</t>
        </is>
      </c>
    </row>
    <row r="61">
      <c r="A61" t="inlineStr"/>
    </row>
    <row r="62" ht="91" customHeight="1">
      <c r="A62" s="17" t="inlineStr">
        <is>
          <t>Alvin does the work on 11 of 12 Operations rows. The Operations Specialist job description covers almost exactly that list: daily order operations and the third-party logistics relationship, channel operations across the direct store and Ulta Beauty Marketplace and Amazon, inventory reconciliation and FEFO and out-of-stock signals, receiving, purchase-to-pay, freight and customs and broker relationships, routing-guide and advance-ship-notice compliance, sales and operations planning support, production scheduling, and the label and seeding and sampling projects. That is a defined function sitting on one person today.</t>
        </is>
      </c>
    </row>
    <row r="63">
      <c r="A63" t="inlineStr"/>
    </row>
    <row r="64" ht="15" customHeight="1">
      <c r="A64" s="23" t="inlineStr">
        <is>
          <t>The PD seat is the one that closes the quality loop</t>
        </is>
      </c>
    </row>
    <row r="65">
      <c r="A65" t="inlineStr"/>
    </row>
    <row r="66" ht="104" customHeight="1">
      <c r="A66" s="17" t="inlineStr">
        <is>
          <t>Its job description names running the quality system outright - corrective and preventive actions, non-conformances, complaint intake and trend monitoring, lab results, supplier quality flags, batch lifecycle including stability and hold-release, and the quality dashboard - plus pre-launch ingredient and label review, claim substantiation, retailer compliance responses and the registration tracker, and document control across specifications and dielines and artwork versions and bills of materials. Until it is filled, Nicole gates quality and Alvin executes it. That works, and it is the reason the gate is worth having now rather than after the hire, but it is two people covering a role that was written as one.</t>
        </is>
      </c>
    </row>
    <row r="67">
      <c r="A67" t="inlineStr"/>
    </row>
    <row r="68" ht="15" customHeight="1">
      <c r="A68" s="23" t="inlineStr">
        <is>
          <t>Nothing on this matrix is unowned any more</t>
        </is>
      </c>
    </row>
    <row r="69">
      <c r="A69" t="inlineStr"/>
    </row>
    <row r="70" ht="117" customHeight="1">
      <c r="A70" s="17" t="inlineStr">
        <is>
          <t>The first pass reported three unowned functions. All three are now owned, and none of them were ever actually ownerless - they were missing from the sources. Finance and HR needed the partner organisations added. Marketing, wholesale and Shopify revenue needed the AC Brands landing hub, which defines eleven functions with an explicit lead per function and had three reading "Owned by TBD": Marketing, Finance, and the wholesale half of Sales &amp; Commerce. Resolving those took three decisions rather than three hires. Soraya is accountable for Marketing. Nicole is accountable for all channels - DTC, Amazon and wholesale together, which is broader than the hub had it. Danielle is accountable for web with Nicole as the systems and tech owner. That is 102 activities across eleven functions with an owner on every row.</t>
        </is>
      </c>
    </row>
    <row r="71">
      <c r="A71" t="inlineStr"/>
    </row>
    <row r="72" ht="15" customHeight="1">
      <c r="A72" s="23" t="inlineStr">
        <is>
          <t>Six functions run entirely outside the company</t>
        </is>
      </c>
    </row>
    <row r="73">
      <c r="A73" t="inlineStr"/>
    </row>
    <row r="74" ht="91" customHeight="1">
      <c r="A74" s="17" t="inlineStr">
        <is>
          <t>Regulatory goes through Pedrero, Finance through Ironclad (Dan Bender), HR through Calm HR as PEO and co-employer, digital marketing and email through WITHIN, web development through Teknologics. Add the three contractors on packaging, creative and formulation and that is eight external parties holding the execution of eight functions. For a team of nine it is a reasonable shape - it is how this surface gets covered at all. What it means is that continuity rests on eight engagements rather than on employment, and each is a renewal decision rather than a retention one. Engagement terms are recorded for Pedrero only.</t>
        </is>
      </c>
    </row>
    <row r="75">
      <c r="A75" t="inlineStr"/>
    </row>
    <row r="76" ht="15" customHeight="1">
      <c r="A76" s="23" t="inlineStr">
        <is>
          <t>Regulatory is the odd one, and it cuts both ways</t>
        </is>
      </c>
    </row>
    <row r="77">
      <c r="A77" t="inlineStr"/>
    </row>
    <row r="78" ht="78" customHeight="1">
      <c r="A78" s="17" t="inlineStr">
        <is>
          <t>Pedrero is consulted on 11 rows and responsible for none. That is not an undervaluation - our own procedures make them consult-only with no Asana access and no internal authority, and Amy Pedrero holds the binding regulatory calls. The consequence is a split bottleneck: Pedrero forms every regulatory opinion, and Alvin performs every regulatory action, because the Operator and Reg Lead gates are both his and Pedrero cannot act inside our systems. Either the Reg Lead gate gets an alternate or Pedrero's remit widens; the current shape means regulatory work stops if either side is unavailable.</t>
        </is>
      </c>
    </row>
    <row r="79">
      <c r="A79" t="inlineStr"/>
    </row>
    <row r="80" ht="15" customHeight="1">
      <c r="A80" s="23" t="inlineStr">
        <is>
          <t>One row is still unowned</t>
        </is>
      </c>
    </row>
    <row r="81">
      <c r="A81" t="inlineStr"/>
    </row>
    <row r="82" ht="52" customHeight="1">
      <c r="A82" s="17" t="inlineStr">
        <is>
          <t>Shopify revenue and channel position. It is registered as the revenue connection and named as the primary direct-to-consumer revenue track, but no process assigns ownership or an approval step, so it shows Alvin by inference rather than by source. The function closest to the top line is the least specified.</t>
        </is>
      </c>
    </row>
    <row r="83">
      <c r="A83" t="inlineStr"/>
    </row>
    <row r="84" ht="15" customHeight="1">
      <c r="A84" s="23" t="inlineStr">
        <is>
          <t>Single points of failure that remain after both hires</t>
        </is>
      </c>
    </row>
    <row r="85">
      <c r="A85" t="inlineStr"/>
    </row>
    <row r="86" ht="91" customHeight="1">
      <c r="A86" s="17" t="inlineStr">
        <is>
          <t>Perrine is an external contractor holding A on 8 rows with no internal counterpart, and one of those - compatibility and stability and RIPT and PET - has her as both A and R. Nobody inside AC Brands can check that work or continue it. Alvin is the other: the Operator gate has no alternate anywhere in the suite, and all 23 scheduled Routines stop at a human approval only he can clear. Succession is documented exactly once in the entire system, for competitive intelligence. Nothing comparable exists for the quality gate, the technical advisor, or the framework owner. That gap costs hours to close, not headcount, and it is the one I would fix first.</t>
        </is>
      </c>
    </row>
    <row r="87">
      <c r="A8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52" customWidth="1" min="3" max="3"/>
    <col width="58" customWidth="1" min="4" max="4"/>
    <col width="34" customWidth="1" min="5" max="5"/>
    <col width="11" customWidth="1" min="6" max="6"/>
    <col width="50" customWidth="1" min="7" max="7"/>
  </cols>
  <sheetData>
    <row r="1" ht="28" customHeight="1">
      <c r="A1" s="1" t="inlineStr">
        <is>
          <t>Type</t>
        </is>
      </c>
      <c r="B1" s="1" t="inlineStr">
        <is>
          <t>Function</t>
        </is>
      </c>
      <c r="C1" s="1" t="inlineStr">
        <is>
          <t>Gap</t>
        </is>
      </c>
      <c r="D1" s="1" t="inlineStr">
        <is>
          <t>Why it matters</t>
        </is>
      </c>
      <c r="E1" s="1" t="inlineStr">
        <is>
          <t>Owner / next step</t>
        </is>
      </c>
      <c r="F1" s="1" t="inlineStr">
        <is>
          <t>Est. hrs / month</t>
        </is>
      </c>
      <c r="G1" s="1" t="inlineStr">
        <is>
          <t>Source</t>
        </is>
      </c>
    </row>
    <row r="2">
      <c r="A2" s="24" t="inlineStr">
        <is>
          <t>Open seat</t>
        </is>
      </c>
      <c r="B2" s="6" t="inlineStr">
        <is>
          <t>Operations &amp; Supply Chain</t>
        </is>
      </c>
      <c r="C2" s="6" t="inlineStr">
        <is>
          <t>Operations Specialist. Approved, prioritized, recruiting now. Reports to Nicole. $72-90K.</t>
        </is>
      </c>
      <c r="D2" s="6" t="inlineStr">
        <is>
          <t>Alvin does the work on 11 of 12 Operations rows. This seat absorbs 16 activities across order ops, inventory, purchase-to-pay, freight and planning.</t>
        </is>
      </c>
      <c r="E2" s="6" t="inlineStr">
        <is>
          <t>Recruiting via Calm HR once the RACI clears Danielle</t>
        </is>
      </c>
      <c r="F2" s="7" t="n">
        <v>160</v>
      </c>
      <c r="G2" s="6" t="inlineStr">
        <is>
          <t>decisions/log.md:52; Leadership Business Review 2026-07-30 52:48-53:17; Ops Specialist JD</t>
        </is>
      </c>
    </row>
    <row r="3">
      <c r="A3" s="24" t="inlineStr">
        <is>
          <t>Open seat</t>
        </is>
      </c>
      <c r="B3" s="6" t="inlineStr">
        <is>
          <t>Product Development</t>
        </is>
      </c>
      <c r="C3" s="6" t="inlineStr">
        <is>
          <t>PD Specialist. Approved, phased in after Ops. Reports to Nicole. $75-95K.</t>
        </is>
      </c>
      <c r="D3" s="6" t="inlineStr">
        <is>
          <t>Absorbs 16 activities including the whole quality-execution layer the JD calls 'run the quality system', plus document control and product regulatory work. Until then Nicole gates and Alvin executes.</t>
        </is>
      </c>
      <c r="E3" s="6" t="inlineStr">
        <is>
          <t>Define scope, then recruit after Ops seat lands</t>
        </is>
      </c>
      <c r="F3" s="7" t="n">
        <v>160</v>
      </c>
      <c r="G3" s="6" t="inlineStr">
        <is>
          <t>decisions/log.md:52; Leadership Business Review 2026-07-30 53:17-57:10; PD Specialist JD</t>
        </is>
      </c>
    </row>
    <row r="4">
      <c r="A4" s="25" t="inlineStr">
        <is>
          <t>Resolved</t>
        </is>
      </c>
      <c r="B4" s="6" t="inlineStr">
        <is>
          <t>Finance</t>
        </is>
      </c>
      <c r="C4" s="6" t="inlineStr">
        <is>
          <t>Finance is owned. Ironclad Finance (Dan Bender) runs AP, bookkeeping, payroll, month-end close and reporting. Danielle accountable for reporting, Alvin for cost.</t>
        </is>
      </c>
      <c r="D4" s="6" t="inlineStr">
        <is>
          <t>Was flagged as unowned before the external partners were added to the matrix. The remaining question is not ownership but coverage: no internal finance headcount exists, so continuity depends on the Ironclad engagement.</t>
        </is>
      </c>
      <c r="E4" s="6" t="inlineStr">
        <is>
          <t>No action - confirm engagement terms and renewal date</t>
        </is>
      </c>
      <c r="F4" s="7" t="n">
        <v>0</v>
      </c>
      <c r="G4" s="6" t="inlineStr">
        <is>
          <t>Alvin, 2026-07-31 (external partners)</t>
        </is>
      </c>
    </row>
    <row r="5">
      <c r="A5" s="25" t="inlineStr">
        <is>
          <t>Resolved</t>
        </is>
      </c>
      <c r="B5" s="6" t="inlineStr">
        <is>
          <t>People &amp; Admin</t>
        </is>
      </c>
      <c r="C5" s="6" t="inlineStr">
        <is>
          <t>HR is owned. Calm HR is the PEO and co-employer and runs handbook, policy, benefits, payroll admin, onboarding, offboarding and separations. Alvin accountable as liaison, Danielle co-approves.</t>
        </is>
      </c>
      <c r="D5" s="6" t="inlineStr">
        <is>
          <t>Was flagged as unowned before the external partners were added. What remains internal is the system-side half of offboarding - Asana reassignment, wiki contact state, access deprovisioning - which the departed-role-holder checklist covers and which is still on Alvin.</t>
        </is>
      </c>
      <c r="E5" s="6" t="inlineStr">
        <is>
          <t>No action on HR; system-side offboarding to the Ops Specialist</t>
        </is>
      </c>
      <c r="F5" s="7" t="n">
        <v>4</v>
      </c>
      <c r="G5" s="6" t="inlineStr">
        <is>
          <t>Alvin, 2026-07-31 (external partners); asana-pd-manager/references/role-map.md:48-56</t>
        </is>
      </c>
    </row>
    <row r="6">
      <c r="A6" s="25" t="inlineStr">
        <is>
          <t>Resolved</t>
        </is>
      </c>
      <c r="B6" s="6" t="inlineStr">
        <is>
          <t>Ecommerce &amp; DTC</t>
        </is>
      </c>
      <c r="C6" s="6" t="inlineStr">
        <is>
          <t>Shopify revenue and channel position is owned. Nicole is accountable for all channels - DTC, Amazon and wholesale - with Alvin doing the work and Danielle informed.</t>
        </is>
      </c>
      <c r="D6" s="6" t="inlineStr">
        <is>
          <t>Was the last row on the matrix with no owner. The landing hub had split DTC and Amazon to Alvin and left wholesale as TBD; consolidating all channels under one accountability closes it.</t>
        </is>
      </c>
      <c r="E6" s="6" t="inlineStr">
        <is>
          <t>No action - every row on the matrix now has an owner</t>
        </is>
      </c>
      <c r="F6" s="7" t="n">
        <v>0</v>
      </c>
      <c r="G6" s="6" t="inlineStr">
        <is>
          <t>acb-thelanding: data/links.json; Alvin, 2026-07-31 (marketing, wholesale and web)</t>
        </is>
      </c>
    </row>
    <row r="7">
      <c r="A7" s="25" t="inlineStr">
        <is>
          <t>Resolved</t>
        </is>
      </c>
      <c r="B7" s="6" t="inlineStr">
        <is>
          <t>Marketing &amp; Brand</t>
        </is>
      </c>
      <c r="C7" s="6" t="inlineStr">
        <is>
          <t>Marketing is owned. Soraya is accountable across editorial, email, paid media and social. WITHIN responsible for paid and email execution, Kate for social content.</t>
        </is>
      </c>
      <c r="D7" s="6" t="inlineStr">
        <is>
          <t>The landing hub listed Marketing as "Owned by TBD" with four named tools and nobody against them. Fifteen Marketing rows now have an owner.</t>
        </is>
      </c>
      <c r="E7" s="6" t="inlineStr">
        <is>
          <t>No action - confirm WITHIN engagement terms and renewal</t>
        </is>
      </c>
      <c r="F7" s="7" t="n">
        <v>0</v>
      </c>
      <c r="G7" s="6" t="inlineStr">
        <is>
          <t>acb-thelanding: data/links.json; Alvin, 2026-07-31 (marketing, wholesale and web)</t>
        </is>
      </c>
    </row>
    <row r="8">
      <c r="A8" s="25" t="inlineStr">
        <is>
          <t>Single point of failure</t>
        </is>
      </c>
      <c r="B8" s="6" t="inlineStr">
        <is>
          <t>Product Development</t>
        </is>
      </c>
      <c r="C8" s="6" t="inlineStr">
        <is>
          <t>Compatibility, stability, RIPT and PET decisions sit with an external contractor as both A and R.</t>
        </is>
      </c>
      <c r="D8" s="6" t="inlineStr">
        <is>
          <t>No internal counterpart can check the work or continue it. Pre-launch technical decisions have no second reader.</t>
        </is>
      </c>
      <c r="E8" s="6" t="inlineStr">
        <is>
          <t>PD Specialist as internal counterpart on hire</t>
        </is>
      </c>
      <c r="F8" s="7" t="n">
        <v>0</v>
      </c>
      <c r="G8" s="6" t="inlineStr">
        <is>
          <t>asana-pd-manager/references/role-map.md:16</t>
        </is>
      </c>
    </row>
    <row r="9">
      <c r="A9" s="25" t="inlineStr">
        <is>
          <t>Concentration</t>
        </is>
      </c>
      <c r="B9" s="6" t="inlineStr">
        <is>
          <t>All functions</t>
        </is>
      </c>
      <c r="C9" s="6" t="inlineStr">
        <is>
          <t>Six whole functions run through external partner organisations: Regulatory (Pedrero), Finance (Ironclad), HR (Calm HR), digital marketing (WITHIN), web development (Teknologics), managed IT (Coastal Interactive). Plus three contractors on packaging, creative and formulation.</t>
        </is>
      </c>
      <c r="D9" s="6" t="inlineStr">
        <is>
          <t>Nine external parties hold the execution of Regulatory, Finance, HR, digital marketing, web development, managed IT, packaging, creative and formulation. Not a fault - it is how a team of nine covers this surface - but continuity rests on nine engagements rather than on employment, and each one is a renewal decision. Engagement terms are recorded for Pedrero only.</t>
        </is>
      </c>
      <c r="E9" s="6" t="inlineStr">
        <is>
          <t>Record engagement terms and renewal dates for all nine</t>
        </is>
      </c>
      <c r="F9" s="7" t="n">
        <v>0</v>
      </c>
      <c r="G9" s="6" t="inlineStr">
        <is>
          <t>Alvin, 2026-07-31 (external partners)</t>
        </is>
      </c>
    </row>
    <row r="10">
      <c r="A10" s="25" t="inlineStr">
        <is>
          <t>Single point of failure</t>
        </is>
      </c>
      <c r="B10" s="6" t="inlineStr">
        <is>
          <t>Regulatory &amp; Compliance</t>
        </is>
      </c>
      <c r="C10" s="6" t="inlineStr">
        <is>
          <t>Pedrero forms every regulatory opinion but holds no accountability, and Alvin performs every regulatory action. Consulted on 11 rows, responsible for none.</t>
        </is>
      </c>
      <c r="D10" s="6" t="inlineStr">
        <is>
          <t>Our own procedures make Pedrero consult-only with no Asana access and no internal authority, so the binding external call and the internal execution are both bottlenecks in different ways: their opinion gates the work, and only Alvin can act on it.</t>
        </is>
      </c>
      <c r="E10" s="6" t="inlineStr">
        <is>
          <t>Give the Reg Lead gate an alternate, or widen Pedrero's remit</t>
        </is>
      </c>
      <c r="F10" s="7" t="n">
        <v>0</v>
      </c>
      <c r="G10" s="6" t="inlineStr">
        <is>
          <t>regulatory-manager/references/pedrero-contacts.md:9,13,21</t>
        </is>
      </c>
    </row>
    <row r="11">
      <c r="A11" s="25" t="inlineStr">
        <is>
          <t>Single point of failure</t>
        </is>
      </c>
      <c r="B11" s="6" t="inlineStr">
        <is>
          <t>Creative</t>
        </is>
      </c>
      <c r="C11" s="6" t="inlineStr">
        <is>
          <t>Erin Hover is a contractor and the lead technical authority on packaging and artwork, accountable for 4 rows with no internal backup. On creative direction she is both A and R.</t>
        </is>
      </c>
      <c r="D11" s="6" t="inlineStr">
        <is>
          <t>Jan Haeck executes under her and is also a contractor, so the entire packaging and artwork chain sits outside the company. Neither approved job description covers creative authority.</t>
        </is>
      </c>
      <c r="E11" s="6" t="inlineStr">
        <is>
          <t>Name an internal creative counterpart, or scope it into a future role</t>
        </is>
      </c>
      <c r="F11" s="7" t="n">
        <v>0</v>
      </c>
      <c r="G11" s="6" t="inlineStr">
        <is>
          <t>Alvin, 2026-07-31 (role correction); asana-pd-manager/references/role-map.md:22-23</t>
        </is>
      </c>
    </row>
    <row r="12">
      <c r="A12" s="25" t="inlineStr">
        <is>
          <t>Single point of failure</t>
        </is>
      </c>
      <c r="B12" s="6" t="inlineStr">
        <is>
          <t>Quality</t>
        </is>
      </c>
      <c r="C12" s="6" t="inlineStr">
        <is>
          <t>Perrine holds A on 7 formulation rows as a contractor, with no named backup.</t>
        </is>
      </c>
      <c r="D12" s="6" t="inlineStr">
        <is>
          <t>Reduced from 11 by moving process gates to Nicole and packaging to Erin, which is real progress. What remains is genuinely formulation and genuinely single-threaded.</t>
        </is>
      </c>
      <c r="E12" s="6" t="inlineStr">
        <is>
          <t>Name a backup technical reviewer</t>
        </is>
      </c>
      <c r="F12" s="7" t="n">
        <v>0</v>
      </c>
      <c r="G12" s="6" t="inlineStr">
        <is>
          <t>Leadership Business Review 2026-07-30 25:18-25:50; quality-manager/references/role-map.md:14</t>
        </is>
      </c>
    </row>
    <row r="13">
      <c r="A13" s="25" t="inlineStr">
        <is>
          <t>Single point of failure</t>
        </is>
      </c>
      <c r="B13" s="6" t="inlineStr">
        <is>
          <t>Regulatory &amp; Compliance</t>
        </is>
      </c>
      <c r="C13" s="6" t="inlineStr">
        <is>
          <t>Operator and Reg Lead are the same person, so two gates designed to be independent fire against one approver.</t>
        </is>
      </c>
      <c r="D13" s="6" t="inlineStr">
        <is>
          <t>On ingredient-list packets, retailer attestations and FDA filings the second approval adds an audit entry but no second judgment. The 15-day reporting clock has no alternate.</t>
        </is>
      </c>
      <c r="E13" s="6" t="inlineStr">
        <is>
          <t>Split Reg Lead, or route the second gate to Pedrero</t>
        </is>
      </c>
      <c r="F13" s="7" t="n">
        <v>0</v>
      </c>
      <c r="G13" s="6" t="inlineStr">
        <is>
          <t>regulatory-manager/references/role-map.md:14; adverse-event-and-recall-reporter/SKILL.md:108</t>
        </is>
      </c>
    </row>
    <row r="14">
      <c r="A14" s="25" t="inlineStr">
        <is>
          <t>Single point of failure</t>
        </is>
      </c>
      <c r="B14" s="6" t="inlineStr">
        <is>
          <t>IT / Systems &amp; Data</t>
        </is>
      </c>
      <c r="C14" s="6" t="inlineStr">
        <is>
          <t>All 23 scheduled Routines stop at a human approval only Alvin can clear.</t>
        </is>
      </c>
      <c r="D14" s="6" t="inlineStr">
        <is>
          <t>Automation that fires unattended still needs him to commit. A week away queues the work rather than pausing it, and the Routines keep firing.</t>
        </is>
      </c>
      <c r="E14" s="6" t="inlineStr">
        <is>
          <t>Delegate publish gates to the new specialists</t>
        </is>
      </c>
      <c r="F14" s="7" t="n">
        <v>0</v>
      </c>
      <c r="G14" s="6" t="inlineStr">
        <is>
          <t>scheduled-prompts/weekly-pd-update.md:91</t>
        </is>
      </c>
    </row>
    <row r="15">
      <c r="A15" s="25" t="inlineStr">
        <is>
          <t>Single point of failure</t>
        </is>
      </c>
      <c r="B15" s="6" t="inlineStr">
        <is>
          <t>All functions</t>
        </is>
      </c>
      <c r="C15" s="6" t="inlineStr">
        <is>
          <t>Succession is documented once in the whole system - Soraya as interim CI lead if Nicole is out.</t>
        </is>
      </c>
      <c r="D15" s="6" t="inlineStr">
        <is>
          <t>Nothing comparable exists for the quality gate, the technical advisor, the Reg Lead or Creative. The repo's stated purpose is succession.</t>
        </is>
      </c>
      <c r="E15" s="6" t="inlineStr">
        <is>
          <t>Alvin to write per-role backups into each role-map</t>
        </is>
      </c>
      <c r="F15" s="7" t="n">
        <v>4</v>
      </c>
      <c r="G15" s="6" t="inlineStr">
        <is>
          <t>sjs-comp-intel/references/team-ownership.md:95; decisions/log.md:41</t>
        </is>
      </c>
    </row>
    <row r="16">
      <c r="A16" s="25" t="inlineStr">
        <is>
          <t>Open item</t>
        </is>
      </c>
      <c r="B16" s="6" t="inlineStr">
        <is>
          <t>Quality</t>
        </is>
      </c>
      <c r="C16" s="6" t="inlineStr">
        <is>
          <t>Quality management system and monthly trend review not yet stood up. Target end of Q3.</t>
        </is>
      </c>
      <c r="D16" s="6" t="inlineStr">
        <is>
          <t>The gate is assigned but the reporting cadence behind it is not built. Without trend data a recurring issue like the pump defect cannot drive a packaging decision.</t>
        </is>
      </c>
      <c r="E16" s="6" t="inlineStr">
        <is>
          <t>Alvin owns framework, Nicole runs it</t>
        </is>
      </c>
      <c r="F16" s="7" t="n">
        <v>12</v>
      </c>
      <c r="G16" s="6" t="inlineStr">
        <is>
          <t>Leadership Business Review 2026-07-30 26:02-26:17</t>
        </is>
      </c>
    </row>
    <row r="17">
      <c r="A17" s="25" t="inlineStr">
        <is>
          <t>Open item</t>
        </is>
      </c>
      <c r="B17" s="6" t="inlineStr">
        <is>
          <t>Operations &amp; Supply Chain</t>
        </is>
      </c>
      <c r="C17" s="6" t="inlineStr">
        <is>
          <t>22 tasks from the retired coordinator seat sit unassigned in an archived holding project; 4 overdue.</t>
        </is>
      </c>
      <c r="D17" s="6" t="inlineStr">
        <is>
          <t>An unassigned task drops out of every per-person sweep and goes stale silently. Concrete cost of running the interim split for a quarter.</t>
        </is>
      </c>
      <c r="E17" s="6" t="inlineStr">
        <is>
          <t>Alvin to reassign under the interim split</t>
        </is>
      </c>
      <c r="F17" s="7" t="n">
        <v>3</v>
      </c>
      <c r="G17" s="6" t="inlineStr">
        <is>
          <t>decisions/log.md:60</t>
        </is>
      </c>
    </row>
    <row r="18">
      <c r="A18" s="25" t="inlineStr">
        <is>
          <t>Open item</t>
        </is>
      </c>
      <c r="B18" s="6" t="inlineStr">
        <is>
          <t>People &amp; Admin</t>
        </is>
      </c>
      <c r="C18" s="6" t="inlineStr">
        <is>
          <t>SOP cleanup and operational prep before onboarding is not done.</t>
        </is>
      </c>
      <c r="D18" s="6" t="inlineStr">
        <is>
          <t>Danielle's stated condition on the hire: clean up the system first so the role can function. Onboarding into the current state recreates the too-broad seat.</t>
        </is>
      </c>
      <c r="E18" s="6" t="inlineStr">
        <is>
          <t>Alvin and Nicole, before the Ops seat starts</t>
        </is>
      </c>
      <c r="F18" s="7" t="n">
        <v>16</v>
      </c>
      <c r="G18" s="6" t="inlineStr">
        <is>
          <t>Leadership Business Review 2026-07-30 54:24-55:43, 1:00:32</t>
        </is>
      </c>
    </row>
    <row r="19">
      <c r="A19" s="25" t="inlineStr">
        <is>
          <t>Open item</t>
        </is>
      </c>
      <c r="B19" s="6" t="inlineStr">
        <is>
          <t>IT / Systems &amp; Data</t>
        </is>
      </c>
      <c r="C19" s="6" t="inlineStr">
        <is>
          <t>Wiki write-back has not fired since 2026-05-26. 123 of 133 pages are untouched seed content.</t>
        </is>
      </c>
      <c r="D19" s="6" t="inlineStr">
        <is>
          <t>The bridges' runtime lexicon reads stale seed data, degrading vendor, contact and product recognition on every sweep.</t>
        </is>
      </c>
      <c r="E19" s="6" t="inlineStr">
        <is>
          <t>Alvin; part of the skills-architecture backlog</t>
        </is>
      </c>
      <c r="F19" s="7" t="n">
        <v>8</v>
      </c>
      <c r="G19" s="6" t="inlineStr">
        <is>
          <t>decisions/wiki-layer-audit-2026-07-29.md:52; decisions/log.md:75</t>
        </is>
      </c>
    </row>
    <row r="20">
      <c r="A20" s="25" t="inlineStr">
        <is>
          <t>Open item</t>
        </is>
      </c>
      <c r="B20" s="6" t="inlineStr">
        <is>
          <t>Quality</t>
        </is>
      </c>
      <c r="C20" s="6" t="inlineStr">
        <is>
          <t>Nine SOPs and forms are 29 days overdue on annual review.</t>
        </is>
      </c>
      <c r="D20" s="6" t="inlineStr">
        <is>
          <t>Review dates were null so the annual sweep had nothing to fire on. Dates are restored; the reviews are not done, and each needs sign-off.</t>
        </is>
      </c>
      <c r="E20" s="6" t="inlineStr">
        <is>
          <t>Nicole approves as the quality gate; Alvin stages</t>
        </is>
      </c>
      <c r="F20" s="7" t="n">
        <v>12</v>
      </c>
      <c r="G20" s="6" t="inlineStr">
        <is>
          <t>decisions/log.md:69</t>
        </is>
      </c>
    </row>
    <row r="21">
      <c r="A21" s="25" t="inlineStr">
        <is>
          <t>Uncovered brand</t>
        </is>
      </c>
      <c r="B21" s="6" t="inlineStr">
        <is>
          <t>All functions</t>
        </is>
      </c>
      <c r="C21" s="6" t="inlineStr">
        <is>
          <t>Sweet July, the lifestyle brand, has no coverage. The suite is Sweet July Skin plus company-wide work.</t>
        </is>
      </c>
      <c r="D21" s="6" t="inlineStr">
        <is>
          <t>Merch, licensing and non-skincare retail are run somewhere, but nothing documents who owns them. They cannot be put on a RACI from these sources.</t>
        </is>
      </c>
      <c r="E21" s="6" t="inlineStr">
        <is>
          <t>Danielle to confirm scope for the next version</t>
        </is>
      </c>
      <c r="F21" s="7" t="n">
        <v>0</v>
      </c>
      <c r="G21" s="6" t="inlineStr">
        <is>
          <t>references/architecture/system_map.md:3; context/about-business.md:3</t>
        </is>
      </c>
    </row>
    <row r="23">
      <c r="A23" s="14" t="inlineStr">
        <is>
          <t>Hours per month</t>
        </is>
      </c>
      <c r="C23" s="17" t="inlineStr">
        <is>
          <t>Rough estimates. Open-seat rows are full-time-equivalent load, not incremental. Zero means the gap is a structural exposure rather than unbilled hours.</t>
        </is>
      </c>
    </row>
  </sheetData>
  <autoFilter ref="A1:G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2026-08-05T18:01:52Z</dcterms:created>
  <dcterms:modified xsi:type="dcterms:W3CDTF">2026-08-05T18:01:52Z</dcterms:modified>
</cp:coreProperties>
</file>