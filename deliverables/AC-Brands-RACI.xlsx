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'RACI'!$A$2:$Q$80</definedName>
    <definedName name="_xlnm._FilterDatabase" localSheetId="2" hidden="1">'Gaps'!$A$1:$G$17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26" customWidth="1" min="15" max="15"/>
    <col width="58" customWidth="1" min="16" max="16"/>
    <col width="82" customWidth="1" min="17" max="17"/>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1" t="inlineStr">
        <is>
          <t>Transitions to</t>
        </is>
      </c>
      <c r="P1" s="1" t="inlineStr">
        <is>
          <t>Source</t>
        </is>
      </c>
      <c r="Q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c r="P2" s="3" t="inlineStr"/>
      <c r="Q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c r="J3" s="7" t="inlineStr"/>
      <c r="K3" s="7" t="inlineStr"/>
      <c r="L3" s="7" t="inlineStr"/>
      <c r="M3" s="7" t="inlineStr"/>
      <c r="N3" s="9" t="inlineStr">
        <is>
          <t>A</t>
        </is>
      </c>
      <c r="O3" s="6" t="inlineStr">
        <is>
          <t>Product Development Specialist</t>
        </is>
      </c>
      <c r="P3" s="6" t="inlineStr">
        <is>
          <t>.claude/skills/asana-pd-manager/references/role-map.md:16; .claude/skills/asana-pd-manager/SKILL.md:60</t>
        </is>
      </c>
      <c r="Q3" s="6" t="inlineStr">
        <is>
          <t>PD Lead holds technical sign-off on formula stage moves. Operator confirms every move (Rule 1 preview); reversals get a stronger intent check.</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c r="J4" s="7" t="inlineStr"/>
      <c r="K4" s="7" t="inlineStr"/>
      <c r="L4" s="7" t="inlineStr"/>
      <c r="M4" s="7" t="inlineStr"/>
      <c r="N4" s="9" t="inlineStr">
        <is>
          <t>A/R</t>
        </is>
      </c>
      <c r="O4" s="6" t="inlineStr"/>
      <c r="P4" s="6" t="inlineStr">
        <is>
          <t>.claude/skills/asana-pd-manager/references/role-map.md:16</t>
        </is>
      </c>
      <c r="Q4" s="6" t="inlineStr">
        <is>
          <t>PD Lead owns the technical call outright. A and R the same person, and PC is an external contractor.</t>
        </is>
      </c>
    </row>
    <row r="5">
      <c r="A5" s="5" t="inlineStr">
        <is>
          <t>Product Development</t>
        </is>
      </c>
      <c r="B5" s="6" t="inlineStr">
        <is>
          <t>Packaging development with fillers and component vendors</t>
        </is>
      </c>
      <c r="C5" s="7" t="inlineStr"/>
      <c r="D5" s="7" t="inlineStr"/>
      <c r="E5" s="7" t="inlineStr">
        <is>
          <t>C</t>
        </is>
      </c>
      <c r="F5" s="7" t="inlineStr"/>
      <c r="G5" s="7" t="inlineStr"/>
      <c r="H5" s="7" t="inlineStr"/>
      <c r="I5" s="7" t="inlineStr"/>
      <c r="J5" s="7" t="inlineStr"/>
      <c r="K5" s="7" t="inlineStr">
        <is>
          <t>C</t>
        </is>
      </c>
      <c r="L5" s="7" t="inlineStr"/>
      <c r="M5" s="8" t="inlineStr">
        <is>
          <t>R</t>
        </is>
      </c>
      <c r="N5" s="9" t="inlineStr">
        <is>
          <t>A</t>
        </is>
      </c>
      <c r="O5" s="6" t="inlineStr"/>
      <c r="P5" s="6" t="inlineStr">
        <is>
          <t>.claude/skills/asana-pd-manager/references/role-map.md:16,23</t>
        </is>
      </c>
      <c r="Q5" s="6" t="inlineStr">
        <is>
          <t>PD Lead owns packaging dev calls; Jan executes packaging and artwork under Erin. Both are contractors.</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c r="J6" s="7" t="inlineStr"/>
      <c r="K6" s="7" t="inlineStr"/>
      <c r="L6" s="7" t="inlineStr"/>
      <c r="M6" s="7" t="inlineStr"/>
      <c r="N6" s="7" t="inlineStr">
        <is>
          <t>C</t>
        </is>
      </c>
      <c r="O6" s="6" t="inlineStr"/>
      <c r="P6" s="6" t="inlineStr">
        <is>
          <t>.claude/skills/asana-pd-manager/references/role-map.md:17,18</t>
        </is>
      </c>
      <c r="Q6" s="6" t="inlineStr">
        <is>
          <t>President approves. PD Consult is final-line approver alongside the President.</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c r="J7" s="7" t="inlineStr"/>
      <c r="K7" s="7" t="inlineStr"/>
      <c r="L7" s="7" t="inlineStr"/>
      <c r="M7" s="7" t="inlineStr"/>
      <c r="N7" s="7" t="inlineStr"/>
      <c r="O7" s="6" t="inlineStr"/>
      <c r="P7" s="6" t="inlineStr">
        <is>
          <t>.claude/skills/asana-pd-manager/references/role-map.md:19</t>
        </is>
      </c>
      <c r="Q7" s="6" t="inlineStr">
        <is>
          <t>Founder gate. Ayesha receives weekly PD signal through the Friday briefing.</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c r="J8" s="7" t="inlineStr"/>
      <c r="K8" s="7" t="inlineStr"/>
      <c r="L8" s="7" t="inlineStr"/>
      <c r="M8" s="7" t="inlineStr"/>
      <c r="N8" s="7" t="inlineStr">
        <is>
          <t>C</t>
        </is>
      </c>
      <c r="O8" s="6" t="inlineStr">
        <is>
          <t>Product Development Specialist</t>
        </is>
      </c>
      <c r="P8" s="6" t="inlineStr">
        <is>
          <t>.claude/skills/fireflies-asana-bridge/SKILL.md:287; .claude/skills/outlook-plm-bridge/SKILL.md:191; .claude/skills/sjs-status-reporter/SKILL.md:331,385</t>
        </is>
      </c>
      <c r="Q8" s="6" t="inlineStr">
        <is>
          <t>Alvin is the named approver on Flow D formula-approval decisions and classifies every meeting item. Covers the three PD hub dashboards. A and R both AB.</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c r="J9" s="7" t="inlineStr"/>
      <c r="K9" s="7" t="inlineStr"/>
      <c r="L9" s="7" t="inlineStr"/>
      <c r="M9" s="7" t="inlineStr"/>
      <c r="N9" s="9" t="inlineStr">
        <is>
          <t>A</t>
        </is>
      </c>
      <c r="O9" s="6" t="inlineStr"/>
      <c r="P9" s="6" t="inlineStr">
        <is>
          <t>.claude/skills/asana-pd-manager/references/role-map.md:16; .claude/skills/capa-coordinator/SKILL.md:85</t>
        </is>
      </c>
      <c r="Q9" s="6" t="inlineStr">
        <is>
          <t>PD Lead is cross-flagged for any PD-side reformulation. Reformulation handoff rides the root-cause approval - no separate gate.</t>
        </is>
      </c>
    </row>
    <row r="10">
      <c r="A10" s="5" t="inlineStr">
        <is>
          <t>Operations &amp; Supply Chain</t>
        </is>
      </c>
      <c r="B10" s="6" t="inlineStr">
        <is>
          <t>Vendor master data, onboarding (NDA + W9 gate), sourcing and performance scorecards</t>
        </is>
      </c>
      <c r="C10" s="7" t="inlineStr"/>
      <c r="D10" s="7" t="inlineStr"/>
      <c r="E10" s="9" t="inlineStr">
        <is>
          <t>A/R</t>
        </is>
      </c>
      <c r="F10" s="7" t="inlineStr">
        <is>
          <t>C</t>
        </is>
      </c>
      <c r="G10" s="7" t="inlineStr">
        <is>
          <t>-&gt;</t>
        </is>
      </c>
      <c r="H10" s="7" t="inlineStr"/>
      <c r="I10" s="7" t="inlineStr">
        <is>
          <t>C</t>
        </is>
      </c>
      <c r="J10" s="7" t="inlineStr"/>
      <c r="K10" s="7" t="inlineStr"/>
      <c r="L10" s="7" t="inlineStr"/>
      <c r="M10" s="7" t="inlineStr"/>
      <c r="N10" s="7" t="inlineStr">
        <is>
          <t>C</t>
        </is>
      </c>
      <c r="O10" s="6" t="inlineStr">
        <is>
          <t>Operations Specialist</t>
        </is>
      </c>
      <c r="P10" s="6" t="inlineStr">
        <is>
          <t>.claude/skills/purchasing-manager/SKILL.md:42,46,75,154,158</t>
        </is>
      </c>
      <c r="Q10" s="6" t="inlineStr">
        <is>
          <t>PLM vendor record created only after Operations approves at 2D. First-contact routing varies by vendor_type (SKILL.md:50-56) but the approval gate does not. A and R both AB.</t>
        </is>
      </c>
    </row>
    <row r="11">
      <c r="A11" s="5" t="inlineStr">
        <is>
          <t>Operations &amp; Supply Chain</t>
        </is>
      </c>
      <c r="B11" s="6" t="inlineStr">
        <is>
          <t>Purchase order lifecycle: placement, acknowledgement variance, close and discrepancy</t>
        </is>
      </c>
      <c r="C11" s="7" t="inlineStr"/>
      <c r="D11" s="7" t="inlineStr"/>
      <c r="E11" s="9" t="inlineStr">
        <is>
          <t>A/R</t>
        </is>
      </c>
      <c r="F11" s="7" t="inlineStr"/>
      <c r="G11" s="7" t="inlineStr">
        <is>
          <t>-&gt;</t>
        </is>
      </c>
      <c r="H11" s="7" t="inlineStr"/>
      <c r="I11" s="7" t="inlineStr"/>
      <c r="J11" s="7" t="inlineStr"/>
      <c r="K11" s="7" t="inlineStr"/>
      <c r="L11" s="7" t="inlineStr"/>
      <c r="M11" s="7" t="inlineStr"/>
      <c r="N11" s="7" t="inlineStr">
        <is>
          <t>C</t>
        </is>
      </c>
      <c r="O11" s="6" t="inlineStr">
        <is>
          <t>Operations Specialist</t>
        </is>
      </c>
      <c r="P11" s="6" t="inlineStr">
        <is>
          <t>.claude/skills/purchasing-manager/SKILL.md:108,116,140,248</t>
        </is>
      </c>
      <c r="Q11" s="6" t="inlineStr">
        <is>
          <t>Six sub-flows from draft to close, plus Job 10 discrepancy investigation. Every gate is Operations. A and R both AB.</t>
        </is>
      </c>
    </row>
    <row r="12">
      <c r="A12" s="5" t="inlineStr">
        <is>
          <t>Operations &amp; Supply Chain</t>
        </is>
      </c>
      <c r="B12" s="6" t="inlineStr">
        <is>
          <t>Goods receipt on PD-linked purchase orders</t>
        </is>
      </c>
      <c r="C12" s="7" t="inlineStr"/>
      <c r="D12" s="7" t="inlineStr"/>
      <c r="E12" s="8" t="inlineStr">
        <is>
          <t>R</t>
        </is>
      </c>
      <c r="F12" s="7" t="inlineStr">
        <is>
          <t>C</t>
        </is>
      </c>
      <c r="G12" s="7" t="inlineStr"/>
      <c r="H12" s="7" t="inlineStr"/>
      <c r="I12" s="7" t="inlineStr"/>
      <c r="J12" s="7" t="inlineStr"/>
      <c r="K12" s="7" t="inlineStr"/>
      <c r="L12" s="7" t="inlineStr"/>
      <c r="M12" s="7" t="inlineStr"/>
      <c r="N12" s="9" t="inlineStr">
        <is>
          <t>A</t>
        </is>
      </c>
      <c r="O12" s="6" t="inlineStr"/>
      <c r="P12" s="6" t="inlineStr">
        <is>
          <t>.claude/skills/purchasing-manager/SKILL.md:130</t>
        </is>
      </c>
      <c r="Q12" s="6" t="inlineStr">
        <is>
          <t>PD owns the close on PD-linked receipts; Purchasing carries the receipt signal only. The one Ops row where accountability sits off the VP seat.</t>
        </is>
      </c>
    </row>
    <row r="13">
      <c r="A13" s="5" t="inlineStr">
        <is>
          <t>Operations &amp; Supply Chain</t>
        </is>
      </c>
      <c r="B13" s="6" t="inlineStr">
        <is>
          <t>Three-way reconciliation across PLM, Shopify and Logiwa</t>
        </is>
      </c>
      <c r="C13" s="7" t="inlineStr"/>
      <c r="D13" s="7" t="inlineStr"/>
      <c r="E13" s="9" t="inlineStr">
        <is>
          <t>A/R</t>
        </is>
      </c>
      <c r="F13" s="7" t="inlineStr">
        <is>
          <t>C</t>
        </is>
      </c>
      <c r="G13" s="7" t="inlineStr">
        <is>
          <t>-&gt;</t>
        </is>
      </c>
      <c r="H13" s="7" t="inlineStr"/>
      <c r="I13" s="7" t="inlineStr"/>
      <c r="J13" s="7" t="inlineStr"/>
      <c r="K13" s="7" t="inlineStr"/>
      <c r="L13" s="7" t="inlineStr"/>
      <c r="M13" s="7" t="inlineStr"/>
      <c r="N13" s="7" t="inlineStr"/>
      <c r="O13" s="6" t="inlineStr">
        <is>
          <t>Operations Specialist</t>
        </is>
      </c>
      <c r="P13" s="6" t="inlineStr">
        <is>
          <t>.claude/skills/inventory-manager/SKILL.md:68</t>
        </is>
      </c>
      <c r="Q13" s="6" t="inlineStr">
        <is>
          <t>Operations decides the correction direction, usually trusting Logiwa as physical reality. A and R both AB.</t>
        </is>
      </c>
    </row>
    <row r="14">
      <c r="A14" s="5" t="inlineStr">
        <is>
          <t>Operations &amp; Supply Chain</t>
        </is>
      </c>
      <c r="B14" s="6" t="inlineStr">
        <is>
          <t>Vendor invoice classification and cost capture (five HITL gates)</t>
        </is>
      </c>
      <c r="C14" s="7" t="inlineStr"/>
      <c r="D14" s="7" t="inlineStr">
        <is>
          <t>I</t>
        </is>
      </c>
      <c r="E14" s="9" t="inlineStr">
        <is>
          <t>A/R</t>
        </is>
      </c>
      <c r="F14" s="7" t="inlineStr">
        <is>
          <t>C</t>
        </is>
      </c>
      <c r="G14" s="7" t="inlineStr">
        <is>
          <t>-&gt;</t>
        </is>
      </c>
      <c r="H14" s="7" t="inlineStr"/>
      <c r="I14" s="7" t="inlineStr">
        <is>
          <t>C</t>
        </is>
      </c>
      <c r="J14" s="7" t="inlineStr"/>
      <c r="K14" s="7" t="inlineStr"/>
      <c r="L14" s="7" t="inlineStr"/>
      <c r="M14" s="7" t="inlineStr"/>
      <c r="N14" s="7" t="inlineStr"/>
      <c r="O14" s="6" t="inlineStr">
        <is>
          <t>Operations Specialist</t>
        </is>
      </c>
      <c r="P14" s="6" t="inlineStr">
        <is>
          <t>.claude/skills/purchasing-manager/SKILL.md:234,235,238</t>
        </is>
      </c>
      <c r="Q14" s="6" t="inlineStr">
        <is>
          <t>Operator confirms cost_category, regulatory_driver, linked SKU and multi-home routing before any PLM write, and approves the dispute branch. A and R both AB.</t>
        </is>
      </c>
    </row>
    <row r="15">
      <c r="A15" s="5" t="inlineStr">
        <is>
          <t>Operations &amp; Supply Chain</t>
        </is>
      </c>
      <c r="B15" s="6" t="inlineStr">
        <is>
          <t>Inventory position keeping, batch creation on receipt and the location ledger</t>
        </is>
      </c>
      <c r="C15" s="7" t="inlineStr"/>
      <c r="D15" s="7" t="inlineStr"/>
      <c r="E15" s="9" t="inlineStr">
        <is>
          <t>A/R</t>
        </is>
      </c>
      <c r="F15" s="7" t="inlineStr">
        <is>
          <t>I</t>
        </is>
      </c>
      <c r="G15" s="7" t="inlineStr">
        <is>
          <t>-&gt;</t>
        </is>
      </c>
      <c r="H15" s="7" t="inlineStr"/>
      <c r="I15" s="7" t="inlineStr"/>
      <c r="J15" s="7" t="inlineStr"/>
      <c r="K15" s="7" t="inlineStr"/>
      <c r="L15" s="7" t="inlineStr"/>
      <c r="M15" s="7" t="inlineStr"/>
      <c r="N15" s="7" t="inlineStr">
        <is>
          <t>C</t>
        </is>
      </c>
      <c r="O15" s="6" t="inlineStr">
        <is>
          <t>Operations Specialist</t>
        </is>
      </c>
      <c r="P15" s="6" t="inlineStr">
        <is>
          <t>.claude/skills/inventory-manager/SKILL.md:18,52,60</t>
        </is>
      </c>
      <c r="Q15" s="6" t="inlineStr">
        <is>
          <t>Ex-Ops-Coordinator scope. Alvin took inventory under the 2026-07-17 interim split. A and R both AB.</t>
        </is>
      </c>
    </row>
    <row r="16">
      <c r="A16" s="5" t="inlineStr">
        <is>
          <t>Operations &amp; Supply Chain</t>
        </is>
      </c>
      <c r="B16" s="6" t="inlineStr">
        <is>
          <t>Adjustments, write-offs and return dispositions</t>
        </is>
      </c>
      <c r="C16" s="7" t="inlineStr"/>
      <c r="D16" s="7" t="inlineStr"/>
      <c r="E16" s="9" t="inlineStr">
        <is>
          <t>A/R</t>
        </is>
      </c>
      <c r="F16" s="7" t="inlineStr"/>
      <c r="G16" s="7" t="inlineStr">
        <is>
          <t>-&gt;</t>
        </is>
      </c>
      <c r="H16" s="7" t="inlineStr"/>
      <c r="I16" s="7" t="inlineStr"/>
      <c r="J16" s="7" t="inlineStr"/>
      <c r="K16" s="7" t="inlineStr"/>
      <c r="L16" s="7" t="inlineStr"/>
      <c r="M16" s="7" t="inlineStr"/>
      <c r="N16" s="7" t="inlineStr">
        <is>
          <t>C</t>
        </is>
      </c>
      <c r="O16" s="6" t="inlineStr">
        <is>
          <t>Operations Specialist</t>
        </is>
      </c>
      <c r="P16" s="6" t="inlineStr">
        <is>
          <t>.claude/skills/inventory-manager/SKILL.md:94</t>
        </is>
      </c>
      <c r="Q16" s="6" t="inlineStr">
        <is>
          <t>Operations approves. Near-expiry write-offs wait on the quality call first. A and R both AB.</t>
        </is>
      </c>
    </row>
    <row r="17">
      <c r="A17" s="5" t="inlineStr">
        <is>
          <t>Operations &amp; Supply Chain</t>
        </is>
      </c>
      <c r="B17" s="6" t="inlineStr">
        <is>
          <t>S&amp;OP: forecast, inventory targets and buy recommendations</t>
        </is>
      </c>
      <c r="C17" s="7" t="inlineStr"/>
      <c r="D17" s="7" t="inlineStr">
        <is>
          <t>I</t>
        </is>
      </c>
      <c r="E17" s="9" t="inlineStr">
        <is>
          <t>A/R</t>
        </is>
      </c>
      <c r="F17" s="7" t="inlineStr">
        <is>
          <t>C</t>
        </is>
      </c>
      <c r="G17" s="7" t="inlineStr">
        <is>
          <t>-&gt;</t>
        </is>
      </c>
      <c r="H17" s="7" t="inlineStr"/>
      <c r="I17" s="7" t="inlineStr"/>
      <c r="J17" s="7" t="inlineStr"/>
      <c r="K17" s="7" t="inlineStr"/>
      <c r="L17" s="7" t="inlineStr"/>
      <c r="M17" s="7" t="inlineStr"/>
      <c r="N17" s="7" t="inlineStr"/>
      <c r="O17" s="6" t="inlineStr">
        <is>
          <t>Operations Specialist</t>
        </is>
      </c>
      <c r="P17" s="6" t="inlineStr">
        <is>
          <t>.claude/skills/supply-demand-planner/SKILL.md:30-52; .claude/skills/supply-demand-planner/references/plm-schema-additions.md:139</t>
        </is>
      </c>
      <c r="Q17" s="6" t="inlineStr">
        <is>
          <t>Operations approves; plm-assistant executes the SQL. Four intertwined jobs on one person. A and R both AB.</t>
        </is>
      </c>
    </row>
    <row r="18">
      <c r="A18" s="5" t="inlineStr">
        <is>
          <t>Operations &amp; Supply Chain</t>
        </is>
      </c>
      <c r="B18" s="6" t="inlineStr">
        <is>
          <t>Inbound freight, customs, duty and carrier claims</t>
        </is>
      </c>
      <c r="C18" s="7" t="inlineStr"/>
      <c r="D18" s="7" t="inlineStr"/>
      <c r="E18" s="9" t="inlineStr">
        <is>
          <t>A/R</t>
        </is>
      </c>
      <c r="F18" s="7" t="inlineStr"/>
      <c r="G18" s="7" t="inlineStr">
        <is>
          <t>-&gt;</t>
        </is>
      </c>
      <c r="H18" s="7" t="inlineStr"/>
      <c r="I18" s="7" t="inlineStr"/>
      <c r="J18" s="7" t="inlineStr"/>
      <c r="K18" s="7" t="inlineStr"/>
      <c r="L18" s="7" t="inlineStr"/>
      <c r="M18" s="7" t="inlineStr"/>
      <c r="N18" s="7" t="inlineStr">
        <is>
          <t>I</t>
        </is>
      </c>
      <c r="O18" s="6" t="inlineStr">
        <is>
          <t>Operations Specialist</t>
        </is>
      </c>
      <c r="P18" s="6" t="inlineStr">
        <is>
          <t>.claude/skills/logistics-manager/SKILL.md:59,186; .claude/skills/logistics-manager/forms/international-dtc-shipment.md:11</t>
        </is>
      </c>
      <c r="Q18" s="6" t="inlineStr">
        <is>
          <t>Nothing created or updated until Operations signs off. Ex-Ops-Coordinator logistics scope, now Alvin. HCT and Impress origin Asia so customs is routine. A and R both AB.</t>
        </is>
      </c>
    </row>
    <row r="19">
      <c r="A19" s="5" t="inlineStr">
        <is>
          <t>Operations &amp; Supply Chain</t>
        </is>
      </c>
      <c r="B19" s="6" t="inlineStr">
        <is>
          <t>Daily DTC order operations and the Logiwa report parse</t>
        </is>
      </c>
      <c r="C19" s="7" t="inlineStr"/>
      <c r="D19" s="7" t="inlineStr"/>
      <c r="E19" s="7" t="inlineStr">
        <is>
          <t>C</t>
        </is>
      </c>
      <c r="F19" s="9" t="inlineStr">
        <is>
          <t>A/R</t>
        </is>
      </c>
      <c r="G19" s="7" t="inlineStr">
        <is>
          <t>-&gt;</t>
        </is>
      </c>
      <c r="H19" s="7" t="inlineStr"/>
      <c r="I19" s="7" t="inlineStr"/>
      <c r="J19" s="7" t="inlineStr"/>
      <c r="K19" s="7" t="inlineStr"/>
      <c r="L19" s="7" t="inlineStr"/>
      <c r="M19" s="7" t="inlineStr"/>
      <c r="N19" s="7" t="inlineStr"/>
      <c r="O19" s="6" t="inlineStr">
        <is>
          <t>Operations Specialist</t>
        </is>
      </c>
      <c r="P19" s="6" t="inlineStr">
        <is>
          <t>.claude/skills/ayesha-weekly-briefing/SKILL.md:123; .claude/skills/oc3pl-order-manager/SKILL.md:109,191</t>
        </is>
      </c>
      <c r="Q19" s="6" t="inlineStr">
        <is>
          <t>Ex-Ops-Coordinator scope. Nicole covers order management and OC3PL under the 2026-07-17 interim split. A and R both NI.</t>
        </is>
      </c>
    </row>
    <row r="20">
      <c r="A20" s="5" t="inlineStr">
        <is>
          <t>Operations &amp; Supply Chain</t>
        </is>
      </c>
      <c r="B20" s="6" t="inlineStr">
        <is>
          <t>Pre-ship out-of-stock holds from the shortage sheet</t>
        </is>
      </c>
      <c r="C20" s="7" t="inlineStr"/>
      <c r="D20" s="7" t="inlineStr"/>
      <c r="E20" s="8" t="inlineStr">
        <is>
          <t>R</t>
        </is>
      </c>
      <c r="F20" s="9" t="inlineStr">
        <is>
          <t>A</t>
        </is>
      </c>
      <c r="G20" s="7" t="inlineStr">
        <is>
          <t>-&gt;</t>
        </is>
      </c>
      <c r="H20" s="7" t="inlineStr"/>
      <c r="I20" s="7" t="inlineStr"/>
      <c r="J20" s="7" t="inlineStr"/>
      <c r="K20" s="7" t="inlineStr"/>
      <c r="L20" s="7" t="inlineStr"/>
      <c r="M20" s="7" t="inlineStr"/>
      <c r="N20" s="7" t="inlineStr"/>
      <c r="O20" s="6" t="inlineStr">
        <is>
          <t>Operations Specialist</t>
        </is>
      </c>
      <c r="P20" s="6" t="inlineStr">
        <is>
          <t>.claude/skills/oc3pl-order-manager/SKILL.md:201; .claude/skills/ayesha-weekly-briefing/SKILL.md:123</t>
        </is>
      </c>
      <c r="Q20" s="6" t="inlineStr">
        <is>
          <t>Order-side holds sit with Nicole; SKU-level shortage routing belongs to inventory-manager, so Alvin does the work.</t>
        </is>
      </c>
    </row>
    <row r="21">
      <c r="A21" s="5" t="inlineStr">
        <is>
          <t>Operations &amp; Supply Chain</t>
        </is>
      </c>
      <c r="B21" s="6" t="inlineStr">
        <is>
          <t>Retailer ASN / EDI 856 and routing-guide compliance (Ulta DC, Amazon Vendor)</t>
        </is>
      </c>
      <c r="C21" s="7" t="inlineStr"/>
      <c r="D21" s="7" t="inlineStr">
        <is>
          <t>I</t>
        </is>
      </c>
      <c r="E21" s="8" t="inlineStr">
        <is>
          <t>R</t>
        </is>
      </c>
      <c r="F21" s="9" t="inlineStr">
        <is>
          <t>A</t>
        </is>
      </c>
      <c r="G21" s="7" t="inlineStr">
        <is>
          <t>-&gt;</t>
        </is>
      </c>
      <c r="H21" s="7" t="inlineStr"/>
      <c r="I21" s="7" t="inlineStr"/>
      <c r="J21" s="7" t="inlineStr"/>
      <c r="K21" s="7" t="inlineStr"/>
      <c r="L21" s="7" t="inlineStr"/>
      <c r="M21" s="7" t="inlineStr"/>
      <c r="N21" s="7" t="inlineStr"/>
      <c r="O21" s="6" t="inlineStr">
        <is>
          <t>Operations Specialist</t>
        </is>
      </c>
      <c r="P21" s="6" t="inlineStr">
        <is>
          <t>.claude/skills/logistics-manager/SKILL.md:80; .claude/skills/purchasing-manager/SKILL.md:55</t>
        </is>
      </c>
      <c r="Q21" s="6" t="inlineStr">
        <is>
          <t>Operations or Order Ops reviews. UBM launch June 2026 is the deadline driver on this lane.</t>
        </is>
      </c>
    </row>
    <row r="22">
      <c r="A22" s="5" t="inlineStr">
        <is>
          <t>Quality</t>
        </is>
      </c>
      <c r="B22" s="6" t="inlineStr">
        <is>
          <t>Customer complaint intake, classification and first response</t>
        </is>
      </c>
      <c r="C22" s="7" t="inlineStr"/>
      <c r="D22" s="7" t="inlineStr"/>
      <c r="E22" s="8" t="inlineStr">
        <is>
          <t>R</t>
        </is>
      </c>
      <c r="F22" s="9" t="inlineStr">
        <is>
          <t>A</t>
        </is>
      </c>
      <c r="G22" s="7" t="inlineStr"/>
      <c r="H22" s="7" t="inlineStr">
        <is>
          <t>-&gt;</t>
        </is>
      </c>
      <c r="I22" s="7" t="inlineStr"/>
      <c r="J22" s="7" t="inlineStr"/>
      <c r="K22" s="7" t="inlineStr"/>
      <c r="L22" s="7" t="inlineStr"/>
      <c r="M22" s="7" t="inlineStr"/>
      <c r="N22" s="7" t="inlineStr">
        <is>
          <t>C</t>
        </is>
      </c>
      <c r="O22" s="6" t="inlineStr">
        <is>
          <t>Product Development Specialist</t>
        </is>
      </c>
      <c r="P22" s="6" t="inlineStr">
        <is>
          <t>.claude/skills/complaint-and-event-handler/SKILL.md:20,53</t>
        </is>
      </c>
      <c r="Q22" s="6" t="inlineStr">
        <is>
          <t>HITL on every write. Operator approves classification plus first response. A and R both AB. Gate moved to Nicole as the final quality check per Leadership Business Review 2026-07-30 25:18-26:01.</t>
        </is>
      </c>
    </row>
    <row r="23">
      <c r="A23" s="5" t="inlineStr">
        <is>
          <t>Quality</t>
        </is>
      </c>
      <c r="B23" s="6" t="inlineStr">
        <is>
          <t>Complaint trend analysis by SKU and batch</t>
        </is>
      </c>
      <c r="C23" s="7" t="inlineStr"/>
      <c r="D23" s="7" t="inlineStr"/>
      <c r="E23" s="8" t="inlineStr">
        <is>
          <t>R</t>
        </is>
      </c>
      <c r="F23" s="9" t="inlineStr">
        <is>
          <t>A</t>
        </is>
      </c>
      <c r="G23" s="7" t="inlineStr"/>
      <c r="H23" s="7" t="inlineStr">
        <is>
          <t>-&gt;</t>
        </is>
      </c>
      <c r="I23" s="7" t="inlineStr"/>
      <c r="J23" s="7" t="inlineStr"/>
      <c r="K23" s="7" t="inlineStr"/>
      <c r="L23" s="7" t="inlineStr"/>
      <c r="M23" s="7" t="inlineStr"/>
      <c r="N23" s="7" t="inlineStr">
        <is>
          <t>C</t>
        </is>
      </c>
      <c r="O23" s="6" t="inlineStr">
        <is>
          <t>Product Development Specialist</t>
        </is>
      </c>
      <c r="P23" s="6" t="inlineStr">
        <is>
          <t>.claude/skills/quality-manager/references/role-map.md:15</t>
        </is>
      </c>
      <c r="Q23" s="6" t="inlineStr">
        <is>
          <t>Voice of Customer holds gates on complaint classification and complaint-driven escalations. Nicole already held this gate; monthly trend review formalizes it per Leadership Business Review 2026-07-30 26:02-26:17.</t>
        </is>
      </c>
    </row>
    <row r="24">
      <c r="A24" s="5" t="inlineStr">
        <is>
          <t>Quality</t>
        </is>
      </c>
      <c r="B24" s="6" t="inlineStr">
        <is>
          <t>NCR and CAPA lifecycle, intake through close (SKN-OPS-001)</t>
        </is>
      </c>
      <c r="C24" s="7" t="inlineStr"/>
      <c r="D24" s="7" t="inlineStr">
        <is>
          <t>I</t>
        </is>
      </c>
      <c r="E24" s="8" t="inlineStr">
        <is>
          <t>R</t>
        </is>
      </c>
      <c r="F24" s="9" t="inlineStr">
        <is>
          <t>A</t>
        </is>
      </c>
      <c r="G24" s="7" t="inlineStr"/>
      <c r="H24" s="7" t="inlineStr">
        <is>
          <t>-&gt;</t>
        </is>
      </c>
      <c r="I24" s="7" t="inlineStr"/>
      <c r="J24" s="7" t="inlineStr"/>
      <c r="K24" s="7" t="inlineStr"/>
      <c r="L24" s="7" t="inlineStr"/>
      <c r="M24" s="7" t="inlineStr"/>
      <c r="N24" s="7" t="inlineStr">
        <is>
          <t>C</t>
        </is>
      </c>
      <c r="O24" s="6" t="inlineStr">
        <is>
          <t>Product Development Specialist</t>
        </is>
      </c>
      <c r="P24" s="6" t="inlineStr">
        <is>
          <t>.claude/skills/capa-coordinator/SKILL.md:54,136; .claude/skills/capa-coordinator/references/ncr-procedure.md:135; .claude/skills/capa-coordinator/references/skn-ops-001.md:64,102</t>
        </is>
      </c>
      <c r="Q24"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5">
      <c r="A25" s="5" t="inlineStr">
        <is>
          <t>Quality</t>
        </is>
      </c>
      <c r="B25" s="6" t="inlineStr">
        <is>
          <t>Lab finding intake and OOS / OOT classification (SKN-OPS-006)</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6" t="inlineStr">
        <is>
          <t>Product Development Specialist</t>
        </is>
      </c>
      <c r="P25" s="6" t="inlineStr">
        <is>
          <t>.claude/skills/quality-lab-coordinator/SKILL.md:48,56</t>
        </is>
      </c>
      <c r="Q25" s="6" t="inlineStr">
        <is>
          <t>Operator approves intake and the single-versus-systemic classification. A and R both AB. Gate moved to Nicole per Leadership Business Review 2026-07-30 25:35-25:50. Perrine consults on the technical call.</t>
        </is>
      </c>
    </row>
    <row r="26">
      <c r="A26" s="5" t="inlineStr">
        <is>
          <t>Quality</t>
        </is>
      </c>
      <c r="B26" s="6" t="inlineStr">
        <is>
          <t>Vendor quality flag and scorecard signal back to Purchasing</t>
        </is>
      </c>
      <c r="C26" s="7" t="inlineStr"/>
      <c r="D26" s="7" t="inlineStr"/>
      <c r="E26" s="8" t="inlineStr">
        <is>
          <t>R</t>
        </is>
      </c>
      <c r="F26" s="9" t="inlineStr">
        <is>
          <t>A</t>
        </is>
      </c>
      <c r="G26" s="7" t="inlineStr"/>
      <c r="H26" s="7" t="inlineStr">
        <is>
          <t>-&gt;</t>
        </is>
      </c>
      <c r="I26" s="7" t="inlineStr"/>
      <c r="J26" s="7" t="inlineStr"/>
      <c r="K26" s="7" t="inlineStr"/>
      <c r="L26" s="7" t="inlineStr"/>
      <c r="M26" s="7" t="inlineStr"/>
      <c r="N26" s="7" t="inlineStr">
        <is>
          <t>C</t>
        </is>
      </c>
      <c r="O26" s="6" t="inlineStr">
        <is>
          <t>Product Development Specialist</t>
        </is>
      </c>
      <c r="P26" s="6" t="inlineStr">
        <is>
          <t>.claude/skills/quality-lab-coordinator/SKILL.md:76; .claude/skills/quality-lab-coordinator/references/vendor-scorecard-signal.md:103</t>
        </is>
      </c>
      <c r="Q26" s="6" t="inlineStr">
        <is>
          <t>QA Lead approves any vendor flag and the scorecard band. Operator can stage but not commit. A moved from Perrine to Nicole per Leadership Business Review 2026-07-30 25:18-25:50. Perrine consults.</t>
        </is>
      </c>
    </row>
    <row r="27">
      <c r="A27" s="5" t="inlineStr">
        <is>
          <t>Quality</t>
        </is>
      </c>
      <c r="B27" s="6" t="inlineStr">
        <is>
          <t>Batch hold and release (SKN-OPS-007)</t>
        </is>
      </c>
      <c r="C27" s="7" t="inlineStr"/>
      <c r="D27" s="7" t="inlineStr">
        <is>
          <t>I</t>
        </is>
      </c>
      <c r="E27" s="8" t="inlineStr">
        <is>
          <t>R</t>
        </is>
      </c>
      <c r="F27" s="9" t="inlineStr">
        <is>
          <t>A</t>
        </is>
      </c>
      <c r="G27" s="7" t="inlineStr"/>
      <c r="H27" s="7" t="inlineStr">
        <is>
          <t>-&gt;</t>
        </is>
      </c>
      <c r="I27" s="7" t="inlineStr"/>
      <c r="J27" s="7" t="inlineStr"/>
      <c r="K27" s="7" t="inlineStr"/>
      <c r="L27" s="7" t="inlineStr"/>
      <c r="M27" s="7" t="inlineStr"/>
      <c r="N27" s="7" t="inlineStr">
        <is>
          <t>C</t>
        </is>
      </c>
      <c r="O27" s="6" t="inlineStr">
        <is>
          <t>Product Development Specialist</t>
        </is>
      </c>
      <c r="P27" s="6" t="inlineStr">
        <is>
          <t>.claude/skills/batch-lifecycle-tracker/references/batch-lifecycle-procedure.md:208; .claude/skills/batch-lifecycle-tracker/SKILL.md:86</t>
        </is>
      </c>
      <c r="Q27"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28">
      <c r="A28" s="5" t="inlineStr">
        <is>
          <t>Quality</t>
        </is>
      </c>
      <c r="B28" s="6" t="inlineStr">
        <is>
          <t>In-market stability testing decisions (PET, accelerated, real-time)</t>
        </is>
      </c>
      <c r="C28" s="7" t="inlineStr"/>
      <c r="D28" s="7" t="inlineStr"/>
      <c r="E28" s="8" t="inlineStr">
        <is>
          <t>R</t>
        </is>
      </c>
      <c r="F28" s="7" t="inlineStr">
        <is>
          <t>C</t>
        </is>
      </c>
      <c r="G28" s="7" t="inlineStr"/>
      <c r="H28" s="7" t="inlineStr">
        <is>
          <t>-&gt;</t>
        </is>
      </c>
      <c r="I28" s="7" t="inlineStr"/>
      <c r="J28" s="7" t="inlineStr"/>
      <c r="K28" s="7" t="inlineStr"/>
      <c r="L28" s="7" t="inlineStr"/>
      <c r="M28" s="7" t="inlineStr"/>
      <c r="N28" s="9" t="inlineStr">
        <is>
          <t>A</t>
        </is>
      </c>
      <c r="O28" s="6" t="inlineStr">
        <is>
          <t>Product Development Specialist</t>
        </is>
      </c>
      <c r="P28" s="6" t="inlineStr">
        <is>
          <t>.claude/skills/batch-lifecycle-tracker/SKILL.md:71,94</t>
        </is>
      </c>
      <c r="Q28" s="6" t="inlineStr">
        <is>
          <t>Technical testing call stays with Perrine as the R&amp;D and quality technical advisor. Operator approves schedule edits. Per Leadership Business Review 2026-07-30 25:18-25:35 the process gate moved to Nicole but the technical judgment did not.</t>
        </is>
      </c>
    </row>
    <row r="29">
      <c r="A29" s="5" t="inlineStr">
        <is>
          <t>Quality</t>
        </is>
      </c>
      <c r="B29" s="6" t="inlineStr">
        <is>
          <t>Near-expiry batch disposition at the 30-day threshold</t>
        </is>
      </c>
      <c r="C29" s="7" t="inlineStr"/>
      <c r="D29" s="7" t="inlineStr"/>
      <c r="E29" s="8" t="inlineStr">
        <is>
          <t>R</t>
        </is>
      </c>
      <c r="F29" s="9" t="inlineStr">
        <is>
          <t>A</t>
        </is>
      </c>
      <c r="G29" s="7" t="inlineStr"/>
      <c r="H29" s="7" t="inlineStr">
        <is>
          <t>-&gt;</t>
        </is>
      </c>
      <c r="I29" s="7" t="inlineStr"/>
      <c r="J29" s="7" t="inlineStr"/>
      <c r="K29" s="7" t="inlineStr"/>
      <c r="L29" s="7" t="inlineStr"/>
      <c r="M29" s="7" t="inlineStr"/>
      <c r="N29" s="7" t="inlineStr">
        <is>
          <t>C</t>
        </is>
      </c>
      <c r="O29" s="6" t="inlineStr">
        <is>
          <t>Product Development Specialist</t>
        </is>
      </c>
      <c r="P29" s="6" t="inlineStr">
        <is>
          <t>.claude/skills/batch-lifecycle-tracker/SKILL.md:71,94</t>
        </is>
      </c>
      <c r="Q29" s="6" t="inlineStr">
        <is>
          <t>Disposition is a quality gate, so it moves to Nicole. Posts back to inventory before any write-off.</t>
        </is>
      </c>
    </row>
    <row r="30">
      <c r="A30" s="5" t="inlineStr">
        <is>
          <t>Quality</t>
        </is>
      </c>
      <c r="B30" s="6" t="inlineStr">
        <is>
          <t>Serious adverse event triage and recall kickoff (SKN-OPS-002, SKN-OPS-003)</t>
        </is>
      </c>
      <c r="C30" s="7" t="inlineStr">
        <is>
          <t>I</t>
        </is>
      </c>
      <c r="D30" s="7" t="inlineStr">
        <is>
          <t>I</t>
        </is>
      </c>
      <c r="E30" s="9" t="inlineStr">
        <is>
          <t>A/R</t>
        </is>
      </c>
      <c r="F30" s="7" t="inlineStr">
        <is>
          <t>C</t>
        </is>
      </c>
      <c r="G30" s="7" t="inlineStr"/>
      <c r="H30" s="7" t="inlineStr"/>
      <c r="I30" s="7" t="inlineStr"/>
      <c r="J30" s="7" t="inlineStr"/>
      <c r="K30" s="7" t="inlineStr"/>
      <c r="L30" s="7" t="inlineStr"/>
      <c r="M30" s="7" t="inlineStr"/>
      <c r="N30" s="7" t="inlineStr">
        <is>
          <t>C</t>
        </is>
      </c>
      <c r="O30" s="6" t="inlineStr"/>
      <c r="P30" s="6" t="inlineStr">
        <is>
          <t>.claude/skills/complaint-and-event-handler/SKILL.md:85,89,95</t>
        </is>
      </c>
      <c r="Q30" s="6" t="inlineStr">
        <is>
          <t>The strictest gate in the suite: explicit approval at every step, §4.A through §4.F each a separate gate. Operator decides severity, team and whether external reporting is needed. A and R both AB. Stays with Alvin as Reg Lead — legal and agency exposure. Nicole consults.</t>
        </is>
      </c>
    </row>
    <row r="31">
      <c r="A31" s="5" t="inlineStr">
        <is>
          <t>Quality</t>
        </is>
      </c>
      <c r="B31" s="6" t="inlineStr">
        <is>
          <t>SOP ratification, annual review and cross-cutting quality tasks</t>
        </is>
      </c>
      <c r="C31" s="7" t="inlineStr"/>
      <c r="D31" s="7" t="inlineStr"/>
      <c r="E31" s="8" t="inlineStr">
        <is>
          <t>R</t>
        </is>
      </c>
      <c r="F31" s="9" t="inlineStr">
        <is>
          <t>A</t>
        </is>
      </c>
      <c r="G31" s="7" t="inlineStr"/>
      <c r="H31" s="7" t="inlineStr"/>
      <c r="I31" s="7" t="inlineStr"/>
      <c r="J31" s="7" t="inlineStr"/>
      <c r="K31" s="7" t="inlineStr"/>
      <c r="L31" s="7" t="inlineStr"/>
      <c r="M31" s="7" t="inlineStr"/>
      <c r="N31" s="7" t="inlineStr">
        <is>
          <t>C</t>
        </is>
      </c>
      <c r="O31" s="6" t="inlineStr"/>
      <c r="P31" s="6" t="inlineStr">
        <is>
          <t>.claude/skills/quality-manager/SKILL.md:66,135; .claude/skills/quality-manager/references/sop-catalog.md:120; .claude/skills/quality-manager/references/qos-thresholds.md:52</t>
        </is>
      </c>
      <c r="Q31" s="6" t="inlineStr">
        <is>
          <t>QA Lead approves every ratification, review outcome, cross-cutting task and QoS threshold task. SOP §7 names a QA Manager for this; that seat is vacant and Perrine is filling it. Gate moved to Nicole per Leadership Business Review 2026-07-30 25:18-25:50.</t>
        </is>
      </c>
    </row>
    <row r="32">
      <c r="A32" s="5" t="inlineStr">
        <is>
          <t>Quality</t>
        </is>
      </c>
      <c r="B32" s="6" t="inlineStr">
        <is>
          <t>Quality dashboard publish to the landing hub</t>
        </is>
      </c>
      <c r="C32" s="7" t="inlineStr"/>
      <c r="D32" s="7" t="inlineStr"/>
      <c r="E32" s="8" t="inlineStr">
        <is>
          <t>R</t>
        </is>
      </c>
      <c r="F32" s="9" t="inlineStr">
        <is>
          <t>A</t>
        </is>
      </c>
      <c r="G32" s="7" t="inlineStr"/>
      <c r="H32" s="7" t="inlineStr">
        <is>
          <t>-&gt;</t>
        </is>
      </c>
      <c r="I32" s="7" t="inlineStr"/>
      <c r="J32" s="7" t="inlineStr"/>
      <c r="K32" s="7" t="inlineStr"/>
      <c r="L32" s="7" t="inlineStr"/>
      <c r="M32" s="7" t="inlineStr"/>
      <c r="N32" s="7" t="inlineStr">
        <is>
          <t>C</t>
        </is>
      </c>
      <c r="O32" s="6" t="inlineStr">
        <is>
          <t>Product Development Specialist</t>
        </is>
      </c>
      <c r="P32" s="6" t="inlineStr">
        <is>
          <t>.claude/skills/quality-status-reporter/SKILL.md:78</t>
        </is>
      </c>
      <c r="Q32" s="6" t="inlineStr">
        <is>
          <t>Operator approves the commit before push. Never commit without confirmation. A and R both AB. Nicole gates the content; Alvin retains the publish mechanics. Per Leadership Business Review 2026-07-30 26:02-26:17.</t>
        </is>
      </c>
    </row>
    <row r="33">
      <c r="A33" s="5" t="inlineStr">
        <is>
          <t>Regulatory &amp; Compliance</t>
        </is>
      </c>
      <c r="B33" s="6" t="inlineStr">
        <is>
          <t>Pre-launch ingredient list review gate (SKN-OPS-008)</t>
        </is>
      </c>
      <c r="C33" s="7" t="inlineStr"/>
      <c r="D33" s="7" t="inlineStr"/>
      <c r="E33" s="9" t="inlineStr">
        <is>
          <t>A/R</t>
        </is>
      </c>
      <c r="F33" s="7" t="inlineStr">
        <is>
          <t>I</t>
        </is>
      </c>
      <c r="G33" s="7" t="inlineStr"/>
      <c r="H33" s="7" t="inlineStr">
        <is>
          <t>-&gt;</t>
        </is>
      </c>
      <c r="I33" s="7" t="inlineStr"/>
      <c r="J33" s="7" t="inlineStr"/>
      <c r="K33" s="7" t="inlineStr"/>
      <c r="L33" s="7" t="inlineStr"/>
      <c r="M33" s="7" t="inlineStr"/>
      <c r="N33" s="7" t="inlineStr">
        <is>
          <t>C</t>
        </is>
      </c>
      <c r="O33" s="6" t="inlineStr">
        <is>
          <t>Product Development Specialist</t>
        </is>
      </c>
      <c r="P33" s="6" t="inlineStr">
        <is>
          <t>.claude/skills/claims-il-and-label-keeper/SKILL.md:50; .claude/skills/claims-il-and-label-keeper/references/il-claims-label-procedure.md:62</t>
        </is>
      </c>
      <c r="Q33" s="6" t="inlineStr">
        <is>
          <t>Operator approves intake. Reg Lead is the same person at v6.6, so the gate fires twice against one person. Pedrero holds the binding external call. A and R both AB.</t>
        </is>
      </c>
    </row>
    <row r="34">
      <c r="A34" s="5" t="inlineStr">
        <is>
          <t>Regulatory &amp; Compliance</t>
        </is>
      </c>
      <c r="B34" s="6" t="inlineStr">
        <is>
          <t>Pedrero engagement and send approval</t>
        </is>
      </c>
      <c r="C34" s="7" t="inlineStr"/>
      <c r="D34" s="7" t="inlineStr"/>
      <c r="E34" s="9" t="inlineStr">
        <is>
          <t>A/R</t>
        </is>
      </c>
      <c r="F34" s="7" t="inlineStr"/>
      <c r="G34" s="7" t="inlineStr"/>
      <c r="H34" s="7" t="inlineStr"/>
      <c r="I34" s="7" t="inlineStr"/>
      <c r="J34" s="7" t="inlineStr"/>
      <c r="K34" s="7" t="inlineStr"/>
      <c r="L34" s="7" t="inlineStr"/>
      <c r="M34" s="7" t="inlineStr"/>
      <c r="N34" s="7" t="inlineStr">
        <is>
          <t>C</t>
        </is>
      </c>
      <c r="O34" s="6" t="inlineStr"/>
      <c r="P34" s="6" t="inlineStr">
        <is>
          <t>.claude/skills/claims-il-and-label-keeper/SKILL.md:60; .claude/skills/regulatory-manager/SKILL.md:140</t>
        </is>
      </c>
      <c r="Q34" s="6" t="inlineStr">
        <is>
          <t>Reg Lead approves every Pedrero send; Operator hits send manually. Both roles are Alvin. A and R both AB.</t>
        </is>
      </c>
    </row>
    <row r="35">
      <c r="A35" s="5" t="inlineStr">
        <is>
          <t>Regulatory &amp; Compliance</t>
        </is>
      </c>
      <c r="B35" s="6" t="inlineStr">
        <is>
          <t>Claim substantiation and new-claim defensibility</t>
        </is>
      </c>
      <c r="C35" s="7" t="inlineStr">
        <is>
          <t>I</t>
        </is>
      </c>
      <c r="D35" s="7" t="inlineStr"/>
      <c r="E35" s="9" t="inlineStr">
        <is>
          <t>A/R</t>
        </is>
      </c>
      <c r="F35" s="7" t="inlineStr"/>
      <c r="G35" s="7" t="inlineStr"/>
      <c r="H35" s="7" t="inlineStr">
        <is>
          <t>-&gt;</t>
        </is>
      </c>
      <c r="I35" s="7" t="inlineStr">
        <is>
          <t>C</t>
        </is>
      </c>
      <c r="J35" s="7" t="inlineStr"/>
      <c r="K35" s="7" t="inlineStr"/>
      <c r="L35" s="7" t="inlineStr"/>
      <c r="M35" s="7" t="inlineStr"/>
      <c r="N35" s="7" t="inlineStr">
        <is>
          <t>C</t>
        </is>
      </c>
      <c r="O35" s="6" t="inlineStr">
        <is>
          <t>Product Development Specialist</t>
        </is>
      </c>
      <c r="P35" s="6" t="inlineStr">
        <is>
          <t>.claude/skills/claims-il-and-label-keeper/SKILL.md:97; .claude/skills/claims-il-and-label-keeper/references/il-claims-label-procedure.md:29</t>
        </is>
      </c>
      <c r="Q35" s="6" t="inlineStr">
        <is>
          <t>Operator approves the path; Reg Lead approves the Pedrero stage. The procedure exists because new claims from marketing or the founder used to skip Pedrero sign-off. A and R both AB.</t>
        </is>
      </c>
    </row>
    <row r="36">
      <c r="A36" s="5" t="inlineStr">
        <is>
          <t>Regulatory &amp; Compliance</t>
        </is>
      </c>
      <c r="B36" s="6" t="inlineStr">
        <is>
          <t>Label artwork archive, IL cross-check and label-law checks (Pantone, Canada, Quebec, 19-state toxics)</t>
        </is>
      </c>
      <c r="C36" s="7" t="inlineStr"/>
      <c r="D36" s="7" t="inlineStr"/>
      <c r="E36" s="9" t="inlineStr">
        <is>
          <t>A</t>
        </is>
      </c>
      <c r="F36" s="7" t="inlineStr"/>
      <c r="G36" s="7" t="inlineStr"/>
      <c r="H36" s="7" t="inlineStr"/>
      <c r="I36" s="7" t="inlineStr"/>
      <c r="J36" s="7" t="inlineStr"/>
      <c r="K36" s="8" t="inlineStr">
        <is>
          <t>R</t>
        </is>
      </c>
      <c r="L36" s="7" t="inlineStr"/>
      <c r="M36" s="7" t="inlineStr">
        <is>
          <t>C</t>
        </is>
      </c>
      <c r="N36" s="7" t="inlineStr">
        <is>
          <t>C</t>
        </is>
      </c>
      <c r="O36" s="6" t="inlineStr"/>
      <c r="P36" s="6" t="inlineStr">
        <is>
          <t>.claude/skills/claims-il-and-label-keeper/SKILL.md:85; .claude/skills/claims-il-and-label-keeper/references/il-claims-label-procedure.md:93</t>
        </is>
      </c>
      <c r="Q36" s="6" t="inlineStr">
        <is>
          <t>Operator approves each pass outcome; Reg Lead approves any archive entry. Creative produces the artwork under review.</t>
        </is>
      </c>
    </row>
    <row r="37">
      <c r="A37" s="5" t="inlineStr">
        <is>
          <t>Regulatory &amp; Compliance</t>
        </is>
      </c>
      <c r="B37" s="6" t="inlineStr">
        <is>
          <t>Reformulation claim bridge when a SKU reformulates without QIL parity</t>
        </is>
      </c>
      <c r="C37" s="7" t="inlineStr"/>
      <c r="D37" s="7" t="inlineStr"/>
      <c r="E37" s="9" t="inlineStr">
        <is>
          <t>A</t>
        </is>
      </c>
      <c r="F37" s="7" t="inlineStr">
        <is>
          <t>C</t>
        </is>
      </c>
      <c r="G37" s="7" t="inlineStr"/>
      <c r="H37" s="7" t="inlineStr"/>
      <c r="I37" s="7" t="inlineStr"/>
      <c r="J37" s="7" t="inlineStr"/>
      <c r="K37" s="7" t="inlineStr"/>
      <c r="L37" s="7" t="inlineStr"/>
      <c r="M37" s="7" t="inlineStr"/>
      <c r="N37" s="8" t="inlineStr">
        <is>
          <t>R</t>
        </is>
      </c>
      <c r="O37" s="6" t="inlineStr"/>
      <c r="P37" s="6" t="inlineStr">
        <is>
          <t>.claude/skills/claims-il-and-label-keeper/references/il-claims-label-procedure.md:281</t>
        </is>
      </c>
      <c r="Q37" s="6" t="inlineStr">
        <is>
          <t>Reg Lead approves the QIL recovery ask to the prior manufacturer; PD Lead does the formulation work.</t>
        </is>
      </c>
    </row>
    <row r="38">
      <c r="A38" s="5" t="inlineStr">
        <is>
          <t>Regulatory &amp; Compliance</t>
        </is>
      </c>
      <c r="B38" s="6" t="inlineStr">
        <is>
          <t>Retailer attestation responses (Sephora, Ulta, Whole Foods, Credo)</t>
        </is>
      </c>
      <c r="C38" s="7" t="inlineStr"/>
      <c r="D38" s="7" t="inlineStr">
        <is>
          <t>I</t>
        </is>
      </c>
      <c r="E38" s="9" t="inlineStr">
        <is>
          <t>A/R</t>
        </is>
      </c>
      <c r="F38" s="7" t="inlineStr">
        <is>
          <t>C</t>
        </is>
      </c>
      <c r="G38" s="7" t="inlineStr"/>
      <c r="H38" s="7" t="inlineStr">
        <is>
          <t>-&gt;</t>
        </is>
      </c>
      <c r="I38" s="7" t="inlineStr"/>
      <c r="J38" s="7" t="inlineStr"/>
      <c r="K38" s="7" t="inlineStr"/>
      <c r="L38" s="7" t="inlineStr"/>
      <c r="M38" s="7" t="inlineStr"/>
      <c r="N38" s="7" t="inlineStr">
        <is>
          <t>C</t>
        </is>
      </c>
      <c r="O38" s="6" t="inlineStr">
        <is>
          <t>Product Development Specialist</t>
        </is>
      </c>
      <c r="P38" s="6" t="inlineStr">
        <is>
          <t>.claude/skills/claims-il-and-label-keeper/SKILL.md:105; .claude/skills/regulatory-manager/SKILL.md:122</t>
        </is>
      </c>
      <c r="Q38" s="6" t="inlineStr">
        <is>
          <t>Reg Lead approves the retailer submission after Pedrero approval. Voice of Customer consults where customer-perceived attributes matter. A and R both AB.</t>
        </is>
      </c>
    </row>
    <row r="39">
      <c r="A39" s="5" t="inlineStr">
        <is>
          <t>Regulatory &amp; Compliance</t>
        </is>
      </c>
      <c r="B39" s="6" t="inlineStr">
        <is>
          <t>MoCRA registrations, state filings and Leaping Bunny renewal</t>
        </is>
      </c>
      <c r="C39" s="7" t="inlineStr"/>
      <c r="D39" s="7" t="inlineStr"/>
      <c r="E39" s="9" t="inlineStr">
        <is>
          <t>A/R</t>
        </is>
      </c>
      <c r="F39" s="7" t="inlineStr"/>
      <c r="G39" s="7" t="inlineStr"/>
      <c r="H39" s="7" t="inlineStr">
        <is>
          <t>-&gt;</t>
        </is>
      </c>
      <c r="I39" s="7" t="inlineStr">
        <is>
          <t>I</t>
        </is>
      </c>
      <c r="J39" s="7" t="inlineStr"/>
      <c r="K39" s="7" t="inlineStr"/>
      <c r="L39" s="7" t="inlineStr"/>
      <c r="M39" s="7" t="inlineStr"/>
      <c r="N39" s="7" t="inlineStr">
        <is>
          <t>I</t>
        </is>
      </c>
      <c r="O39" s="6" t="inlineStr">
        <is>
          <t>Product Development Specialist</t>
        </is>
      </c>
      <c r="P39" s="6" t="inlineStr">
        <is>
          <t>.claude/skills/regulatory-manager/SKILL.md:114,367</t>
        </is>
      </c>
      <c r="Q39" s="6" t="inlineStr">
        <is>
          <t>Operator approves the filing draft; Reg Lead approves every registration record write. Both roles are Alvin. A and R both AB.</t>
        </is>
      </c>
    </row>
    <row r="40">
      <c r="A40" s="5" t="inlineStr">
        <is>
          <t>Regulatory &amp; Compliance</t>
        </is>
      </c>
      <c r="B40" s="6" t="inlineStr">
        <is>
          <t>SAE and recall agency filings, including the 15-day MoCRA clock (SKN-OPS-009)</t>
        </is>
      </c>
      <c r="C40" s="7" t="inlineStr">
        <is>
          <t>I</t>
        </is>
      </c>
      <c r="D40" s="7" t="inlineStr">
        <is>
          <t>I</t>
        </is>
      </c>
      <c r="E40" s="9" t="inlineStr">
        <is>
          <t>A/R</t>
        </is>
      </c>
      <c r="F40" s="7" t="inlineStr">
        <is>
          <t>C</t>
        </is>
      </c>
      <c r="G40" s="7" t="inlineStr"/>
      <c r="H40" s="7" t="inlineStr"/>
      <c r="I40" s="7" t="inlineStr"/>
      <c r="J40" s="7" t="inlineStr"/>
      <c r="K40" s="7" t="inlineStr"/>
      <c r="L40" s="7" t="inlineStr"/>
      <c r="M40" s="7" t="inlineStr"/>
      <c r="N40" s="7" t="inlineStr">
        <is>
          <t>C</t>
        </is>
      </c>
      <c r="O40" s="6" t="inlineStr"/>
      <c r="P40" s="6" t="inlineStr">
        <is>
          <t>.claude/skills/adverse-event-and-recall-reporter/SKILL.md:65,108</t>
        </is>
      </c>
      <c r="Q40" s="6" t="inlineStr">
        <is>
          <t>Two distinct gates per filing - Pedrero send approval and agency submission approval - both held by Alvin. Statutory clock with no named backup. A and R both AB.</t>
        </is>
      </c>
    </row>
    <row r="41">
      <c r="A41" s="5" t="inlineStr">
        <is>
          <t>Regulatory &amp; Compliance</t>
        </is>
      </c>
      <c r="B41" s="6" t="inlineStr">
        <is>
          <t>Regulatory fan-out routing and the regulatory dashboard publish</t>
        </is>
      </c>
      <c r="C41" s="7" t="inlineStr"/>
      <c r="D41" s="7" t="inlineStr"/>
      <c r="E41" s="9" t="inlineStr">
        <is>
          <t>A/R</t>
        </is>
      </c>
      <c r="F41" s="7" t="inlineStr">
        <is>
          <t>I</t>
        </is>
      </c>
      <c r="G41" s="7" t="inlineStr"/>
      <c r="H41" s="7" t="inlineStr"/>
      <c r="I41" s="7" t="inlineStr"/>
      <c r="J41" s="7" t="inlineStr"/>
      <c r="K41" s="7" t="inlineStr"/>
      <c r="L41" s="7" t="inlineStr"/>
      <c r="M41" s="7" t="inlineStr"/>
      <c r="N41" s="7" t="inlineStr">
        <is>
          <t>C</t>
        </is>
      </c>
      <c r="O41" s="6" t="inlineStr"/>
      <c r="P41" s="6" t="inlineStr">
        <is>
          <t>.claude/skills/regulatory-manager/SKILL.md:60; .claude/skills/regulatory-status-reporter/SKILL.md:90</t>
        </is>
      </c>
      <c r="Q41" s="6" t="inlineStr">
        <is>
          <t>Two gates per fan-out (Operator for the routing call, Reg Lead for task creation), both Alvin. Operator approves the dashboard commit before push. A and R both AB.</t>
        </is>
      </c>
    </row>
    <row r="42">
      <c r="A42" s="5" t="inlineStr">
        <is>
          <t>Retail &amp; Wholesale</t>
        </is>
      </c>
      <c r="B42" s="6" t="inlineStr">
        <is>
          <t>Retailer and reseller first contact</t>
        </is>
      </c>
      <c r="C42" s="7" t="inlineStr"/>
      <c r="D42" s="7" t="inlineStr">
        <is>
          <t>I</t>
        </is>
      </c>
      <c r="E42" s="7" t="inlineStr">
        <is>
          <t>C</t>
        </is>
      </c>
      <c r="F42" s="9" t="inlineStr">
        <is>
          <t>A/R</t>
        </is>
      </c>
      <c r="G42" s="7" t="inlineStr"/>
      <c r="H42" s="7" t="inlineStr"/>
      <c r="I42" s="7" t="inlineStr"/>
      <c r="J42" s="7" t="inlineStr"/>
      <c r="K42" s="7" t="inlineStr"/>
      <c r="L42" s="7" t="inlineStr"/>
      <c r="M42" s="7" t="inlineStr"/>
      <c r="N42" s="7" t="inlineStr"/>
      <c r="O42" s="6" t="inlineStr"/>
      <c r="P42" s="6" t="inlineStr">
        <is>
          <t>.claude/skills/purchasing-manager/SKILL.md:55</t>
        </is>
      </c>
      <c r="Q42" s="6" t="inlineStr">
        <is>
          <t>First-contact owner for retailer, promotional_goods and accessories vendor types is the Sr. Director Consumer Strategy &amp; Ops. A and R both NI.</t>
        </is>
      </c>
    </row>
    <row r="43">
      <c r="A43" s="5" t="inlineStr">
        <is>
          <t>Retail &amp; Wholesale</t>
        </is>
      </c>
      <c r="B43" s="6" t="inlineStr">
        <is>
          <t>Retail channel launch programs: UBM cohort positioning, price ladder, Amazon Vendor</t>
        </is>
      </c>
      <c r="C43" s="7" t="inlineStr"/>
      <c r="D43" s="7" t="inlineStr">
        <is>
          <t>I</t>
        </is>
      </c>
      <c r="E43" s="8" t="inlineStr">
        <is>
          <t>R</t>
        </is>
      </c>
      <c r="F43" s="9" t="inlineStr">
        <is>
          <t>A</t>
        </is>
      </c>
      <c r="G43" s="7" t="inlineStr"/>
      <c r="H43" s="7" t="inlineStr"/>
      <c r="I43" s="7" t="inlineStr">
        <is>
          <t>C</t>
        </is>
      </c>
      <c r="J43" s="7" t="inlineStr"/>
      <c r="K43" s="7" t="inlineStr"/>
      <c r="L43" s="7" t="inlineStr"/>
      <c r="M43" s="7" t="inlineStr"/>
      <c r="N43" s="7" t="inlineStr"/>
      <c r="O43" s="6" t="inlineStr"/>
      <c r="P43" s="6" t="inlineStr">
        <is>
          <t>.claude/skills/purchasing-manager/SKILL.md:55; .claude/skills/sjs-retail-intel/SKILL.md:52; .claude/skills/logistics-manager/SKILL.md:80</t>
        </is>
      </c>
      <c r="Q43" s="6" t="inlineStr">
        <is>
          <t>UBM launch June 2026. Nicole holds the channel relationship; Alvin runs the positioning and outbound work.</t>
        </is>
      </c>
    </row>
    <row r="44">
      <c r="A44" s="5" t="inlineStr">
        <is>
          <t>Marketing &amp; Brand</t>
        </is>
      </c>
      <c r="B44" s="6" t="inlineStr">
        <is>
          <t>Quarterly competitive teardowns across the five comp brands</t>
        </is>
      </c>
      <c r="C44" s="7" t="inlineStr"/>
      <c r="D44" s="7" t="inlineStr"/>
      <c r="E44" s="7" t="inlineStr">
        <is>
          <t>I</t>
        </is>
      </c>
      <c r="F44" s="7" t="inlineStr">
        <is>
          <t>C</t>
        </is>
      </c>
      <c r="G44" s="7" t="inlineStr"/>
      <c r="H44" s="7" t="inlineStr"/>
      <c r="I44" s="9" t="inlineStr">
        <is>
          <t>A/R</t>
        </is>
      </c>
      <c r="J44" s="7" t="inlineStr">
        <is>
          <t>C</t>
        </is>
      </c>
      <c r="K44" s="7" t="inlineStr"/>
      <c r="L44" s="7" t="inlineStr"/>
      <c r="M44" s="7" t="inlineStr"/>
      <c r="N44" s="7" t="inlineStr"/>
      <c r="O44" s="6" t="inlineStr"/>
      <c r="P44" s="6" t="inlineStr">
        <is>
          <t>.claude/skills/sjs-comp-intel/references/team-ownership.md:19,23-30</t>
        </is>
      </c>
      <c r="Q44" s="6" t="inlineStr">
        <is>
          <t>Soraya owns teardown production and comp brand profile maintenance. A and R both SS.</t>
        </is>
      </c>
    </row>
    <row r="45">
      <c r="A45" s="5" t="inlineStr">
        <is>
          <t>Marketing &amp; Brand</t>
        </is>
      </c>
      <c r="B45" s="6" t="inlineStr">
        <is>
          <t>Quarterly teardown sign-off before circulation</t>
        </is>
      </c>
      <c r="C45" s="7" t="inlineStr"/>
      <c r="D45" s="7" t="inlineStr">
        <is>
          <t>I</t>
        </is>
      </c>
      <c r="E45" s="9" t="inlineStr">
        <is>
          <t>A</t>
        </is>
      </c>
      <c r="F45" s="7" t="inlineStr">
        <is>
          <t>C</t>
        </is>
      </c>
      <c r="G45" s="7" t="inlineStr"/>
      <c r="H45" s="7" t="inlineStr"/>
      <c r="I45" s="8" t="inlineStr">
        <is>
          <t>R</t>
        </is>
      </c>
      <c r="J45" s="7" t="inlineStr"/>
      <c r="K45" s="7" t="inlineStr"/>
      <c r="L45" s="7" t="inlineStr"/>
      <c r="M45" s="7" t="inlineStr"/>
      <c r="N45" s="7" t="inlineStr"/>
      <c r="O45" s="6" t="inlineStr"/>
      <c r="P45" s="6" t="inlineStr">
        <is>
          <t>.claude/skills/sjs-comp-intel/references/team-ownership.md:65; .claude/skills/sjs-comp-intel/SKILL.md:50</t>
        </is>
      </c>
      <c r="Q45" s="6" t="inlineStr">
        <is>
          <t>Alvin signs off before it circulates to Danielle and the SJS brand team.</t>
        </is>
      </c>
    </row>
    <row r="46">
      <c r="A46" s="5" t="inlineStr">
        <is>
          <t>Marketing &amp; Brand</t>
        </is>
      </c>
      <c r="B46" s="6" t="inlineStr">
        <is>
          <t>Monthly competitive trend digest and cross-stream signal routing</t>
        </is>
      </c>
      <c r="C46" s="7" t="inlineStr"/>
      <c r="D46" s="7" t="inlineStr"/>
      <c r="E46" s="7" t="inlineStr">
        <is>
          <t>I</t>
        </is>
      </c>
      <c r="F46" s="9" t="inlineStr">
        <is>
          <t>A/R</t>
        </is>
      </c>
      <c r="G46" s="7" t="inlineStr"/>
      <c r="H46" s="7" t="inlineStr"/>
      <c r="I46" s="7" t="inlineStr">
        <is>
          <t>C</t>
        </is>
      </c>
      <c r="J46" s="7" t="inlineStr">
        <is>
          <t>C</t>
        </is>
      </c>
      <c r="K46" s="7" t="inlineStr"/>
      <c r="L46" s="7" t="inlineStr"/>
      <c r="M46" s="7" t="inlineStr"/>
      <c r="N46" s="7" t="inlineStr"/>
      <c r="O46" s="6" t="inlineStr"/>
      <c r="P46" s="6" t="inlineStr">
        <is>
          <t>.claude/skills/sjs-comp-intel/references/team-ownership.md:3,9-15</t>
        </is>
      </c>
      <c r="Q46" s="6" t="inlineStr">
        <is>
          <t>Stream DRI owns digest production and the 'what it means for SJS' analytical layer. Named as the stream's heartbeat - first thing protected under capacity pressure. A and R both NI.</t>
        </is>
      </c>
    </row>
    <row r="47">
      <c r="A47" s="5" t="inlineStr">
        <is>
          <t>Marketing &amp; Brand</t>
        </is>
      </c>
      <c r="B47" s="6" t="inlineStr">
        <is>
          <t>Social listening and comp brand monitoring (TikTok, IG, Pinterest, retailer new arrivals)</t>
        </is>
      </c>
      <c r="C47" s="7" t="inlineStr"/>
      <c r="D47" s="7" t="inlineStr"/>
      <c r="E47" s="7" t="inlineStr"/>
      <c r="F47" s="7" t="inlineStr"/>
      <c r="G47" s="7" t="inlineStr"/>
      <c r="H47" s="7" t="inlineStr"/>
      <c r="I47" s="7" t="inlineStr">
        <is>
          <t>C</t>
        </is>
      </c>
      <c r="J47" s="9" t="inlineStr">
        <is>
          <t>A/R</t>
        </is>
      </c>
      <c r="K47" s="7" t="inlineStr"/>
      <c r="L47" s="7" t="inlineStr"/>
      <c r="M47" s="7" t="inlineStr"/>
      <c r="N47" s="7" t="inlineStr"/>
      <c r="O47" s="6" t="inlineStr"/>
      <c r="P47" s="6" t="inlineStr">
        <is>
          <t>.claude/skills/sjs-comp-intel/references/team-ownership.md:34,40-44</t>
        </is>
      </c>
      <c r="Q47" s="6" t="inlineStr">
        <is>
          <t>Kate owns social listening tool maintenance, query hygiene and the weekly retailer new-arrivals scan. A and R both KL.</t>
        </is>
      </c>
    </row>
    <row r="48">
      <c r="A48" s="5" t="inlineStr">
        <is>
          <t>Marketing &amp; Brand</t>
        </is>
      </c>
      <c r="B48" s="6" t="inlineStr">
        <is>
          <t>Brand guideline custody (fonts, colors, logos, voice)</t>
        </is>
      </c>
      <c r="C48" s="7" t="inlineStr">
        <is>
          <t>I</t>
        </is>
      </c>
      <c r="D48" s="7" t="inlineStr"/>
      <c r="E48" s="7" t="inlineStr"/>
      <c r="F48" s="7" t="inlineStr"/>
      <c r="G48" s="7" t="inlineStr"/>
      <c r="H48" s="7" t="inlineStr"/>
      <c r="I48" s="7" t="inlineStr">
        <is>
          <t>C</t>
        </is>
      </c>
      <c r="J48" s="7" t="inlineStr"/>
      <c r="K48" s="9" t="inlineStr">
        <is>
          <t>A</t>
        </is>
      </c>
      <c r="L48" s="8" t="inlineStr">
        <is>
          <t>R</t>
        </is>
      </c>
      <c r="M48" s="7" t="inlineStr"/>
      <c r="N48" s="7" t="inlineStr"/>
      <c r="O48" s="6" t="inlineStr"/>
      <c r="P48" s="6" t="inlineStr">
        <is>
          <t>.claude/skills/sweet-july-skin-brand/SKILL.md:1; references/architecture/system_map.md:157</t>
        </is>
      </c>
      <c r="Q48" s="6" t="inlineStr">
        <is>
          <t>Every output-producing skill defers here for canonical brand spec; no skill carries its own copy.</t>
        </is>
      </c>
    </row>
    <row r="49">
      <c r="A49" s="5" t="inlineStr">
        <is>
          <t>Marketing &amp; Brand</t>
        </is>
      </c>
      <c r="B49" s="6" t="inlineStr">
        <is>
          <t>Annual team holiday communications (11 sends across 3 templates)</t>
        </is>
      </c>
      <c r="C49" s="7" t="inlineStr"/>
      <c r="D49" s="7" t="inlineStr">
        <is>
          <t>I</t>
        </is>
      </c>
      <c r="E49" s="9" t="inlineStr">
        <is>
          <t>A/R</t>
        </is>
      </c>
      <c r="F49" s="7" t="inlineStr">
        <is>
          <t>I</t>
        </is>
      </c>
      <c r="G49" s="7" t="inlineStr"/>
      <c r="H49" s="7" t="inlineStr"/>
      <c r="I49" s="7" t="inlineStr">
        <is>
          <t>I</t>
        </is>
      </c>
      <c r="J49" s="7" t="inlineStr">
        <is>
          <t>I</t>
        </is>
      </c>
      <c r="K49" s="7" t="inlineStr"/>
      <c r="L49" s="7" t="inlineStr">
        <is>
          <t>I</t>
        </is>
      </c>
      <c r="M49" s="7" t="inlineStr"/>
      <c r="N49" s="7" t="inlineStr"/>
      <c r="O49" s="6" t="inlineStr"/>
      <c r="P49" s="6" t="inlineStr">
        <is>
          <t>.claude/skills/ac-brands-holiday-comms/SKILL.md:26,165</t>
        </is>
      </c>
      <c r="Q49" s="6" t="inlineStr">
        <is>
          <t>Sends from alvin@ac-brands.com with the team on BCC. Includes the Outlook calendar sync and annual maintenance. A and R both AB.</t>
        </is>
      </c>
    </row>
    <row r="50">
      <c r="A50" s="5" t="inlineStr">
        <is>
          <t>Marketing &amp; Brand</t>
        </is>
      </c>
      <c r="B50" s="6" t="inlineStr">
        <is>
          <t>Weekly founder briefing, Slides 5 and 6</t>
        </is>
      </c>
      <c r="C50" s="7" t="inlineStr">
        <is>
          <t>I</t>
        </is>
      </c>
      <c r="D50" s="7" t="inlineStr">
        <is>
          <t>I</t>
        </is>
      </c>
      <c r="E50" s="9" t="inlineStr">
        <is>
          <t>A/R</t>
        </is>
      </c>
      <c r="F50" s="7" t="inlineStr">
        <is>
          <t>C</t>
        </is>
      </c>
      <c r="G50" s="7" t="inlineStr"/>
      <c r="H50" s="7" t="inlineStr"/>
      <c r="I50" s="7" t="inlineStr"/>
      <c r="J50" s="7" t="inlineStr"/>
      <c r="K50" s="7" t="inlineStr"/>
      <c r="L50" s="7" t="inlineStr"/>
      <c r="M50" s="7" t="inlineStr"/>
      <c r="N50" s="7" t="inlineStr">
        <is>
          <t>C</t>
        </is>
      </c>
      <c r="O50" s="6" t="inlineStr"/>
      <c r="P50" s="6" t="inlineStr">
        <is>
          <t>.claude/skills/ayesha-weekly-briefing/SKILL.md:49,72</t>
        </is>
      </c>
      <c r="Q50" s="6" t="inlineStr">
        <is>
          <t>Alvin owns both Slide 5 (Business Operations) and Slide 6 PD-Ops content; Nicole co-authors Slide 6 with her core PD content. A and R both AB.</t>
        </is>
      </c>
    </row>
    <row r="51">
      <c r="A51" s="5" t="inlineStr">
        <is>
          <t>Creative</t>
        </is>
      </c>
      <c r="B51" s="6" t="inlineStr">
        <is>
          <t>Creative direction on packaging, artwork and brand visuals</t>
        </is>
      </c>
      <c r="C51" s="7" t="inlineStr"/>
      <c r="D51" s="7" t="inlineStr"/>
      <c r="E51" s="7" t="inlineStr"/>
      <c r="F51" s="7" t="inlineStr"/>
      <c r="G51" s="7" t="inlineStr"/>
      <c r="H51" s="7" t="inlineStr"/>
      <c r="I51" s="7" t="inlineStr">
        <is>
          <t>C</t>
        </is>
      </c>
      <c r="J51" s="7" t="inlineStr"/>
      <c r="K51" s="9" t="inlineStr">
        <is>
          <t>A/R</t>
        </is>
      </c>
      <c r="L51" s="7" t="inlineStr">
        <is>
          <t>C</t>
        </is>
      </c>
      <c r="M51" s="7" t="inlineStr"/>
      <c r="N51" s="7" t="inlineStr"/>
      <c r="O51" s="6" t="inlineStr"/>
      <c r="P51" s="6" t="inlineStr">
        <is>
          <t>.claude/skills/asana-pd-manager/references/role-map.md:22</t>
        </is>
      </c>
      <c r="Q51" s="6" t="inlineStr">
        <is>
          <t>Creative Director owns packaging, artwork and brand visuals. A and R both EH.</t>
        </is>
      </c>
    </row>
    <row r="52">
      <c r="A52" s="5" t="inlineStr">
        <is>
          <t>Creative</t>
        </is>
      </c>
      <c r="B52" s="6" t="inlineStr">
        <is>
          <t>Packaging and artwork execution</t>
        </is>
      </c>
      <c r="C52" s="7" t="inlineStr"/>
      <c r="D52" s="7" t="inlineStr"/>
      <c r="E52" s="7" t="inlineStr">
        <is>
          <t>I</t>
        </is>
      </c>
      <c r="F52" s="7" t="inlineStr"/>
      <c r="G52" s="7" t="inlineStr"/>
      <c r="H52" s="7" t="inlineStr"/>
      <c r="I52" s="7" t="inlineStr"/>
      <c r="J52" s="7" t="inlineStr"/>
      <c r="K52" s="9" t="inlineStr">
        <is>
          <t>A</t>
        </is>
      </c>
      <c r="L52" s="7" t="inlineStr"/>
      <c r="M52" s="8" t="inlineStr">
        <is>
          <t>R</t>
        </is>
      </c>
      <c r="N52" s="7" t="inlineStr">
        <is>
          <t>C</t>
        </is>
      </c>
      <c r="O52" s="6" t="inlineStr"/>
      <c r="P52" s="6" t="inlineStr">
        <is>
          <t>.claude/skills/asana-pd-manager/references/role-map.md:23; .claude/skills/sjs-comp-intel/references/team-ownership.md:79</t>
        </is>
      </c>
      <c r="Q52" s="6" t="inlineStr">
        <is>
          <t>Jan is the creative contractor under Erin. Title differs between sources - Packaging Engineer in one, creative contractor in the other.</t>
        </is>
      </c>
    </row>
    <row r="53">
      <c r="A53" s="5" t="inlineStr">
        <is>
          <t>Creative</t>
        </is>
      </c>
      <c r="B53" s="6" t="inlineStr">
        <is>
          <t>Creative Requests intake and design coordination</t>
        </is>
      </c>
      <c r="C53" s="7" t="inlineStr"/>
      <c r="D53" s="7" t="inlineStr"/>
      <c r="E53" s="7" t="inlineStr"/>
      <c r="F53" s="7" t="inlineStr"/>
      <c r="G53" s="7" t="inlineStr"/>
      <c r="H53" s="7" t="inlineStr"/>
      <c r="I53" s="7" t="inlineStr">
        <is>
          <t>C</t>
        </is>
      </c>
      <c r="J53" s="7" t="inlineStr"/>
      <c r="K53" s="7" t="inlineStr">
        <is>
          <t>C</t>
        </is>
      </c>
      <c r="L53" s="9" t="inlineStr">
        <is>
          <t>A/R</t>
        </is>
      </c>
      <c r="M53" s="7" t="inlineStr"/>
      <c r="N53" s="7" t="inlineStr"/>
      <c r="O53" s="6" t="inlineStr"/>
      <c r="P53" s="6" t="inlineStr">
        <is>
          <t>.claude/skills/sjs-status-reporter/SKILL.md:352; .claude/skills/asana-pd-manager/references/role-map.md:24</t>
        </is>
      </c>
      <c r="Q53" s="6" t="inlineStr">
        <is>
          <t>Creative Requests Asana project owner is Ivy, Editorial/Design team. Ivy supports Erin and Jan. A and R both IT.</t>
        </is>
      </c>
    </row>
    <row r="54">
      <c r="A54" s="5" t="inlineStr">
        <is>
          <t>Ecommerce &amp; DTC</t>
        </is>
      </c>
      <c r="B54" s="6" t="inlineStr">
        <is>
          <t>Shopify revenue and channel position read</t>
        </is>
      </c>
      <c r="C54" s="7" t="inlineStr"/>
      <c r="D54" s="7" t="inlineStr">
        <is>
          <t>I</t>
        </is>
      </c>
      <c r="E54" s="9" t="inlineStr">
        <is>
          <t>A/R</t>
        </is>
      </c>
      <c r="F54" s="7" t="inlineStr">
        <is>
          <t>C</t>
        </is>
      </c>
      <c r="G54" s="7" t="inlineStr"/>
      <c r="H54" s="7" t="inlineStr"/>
      <c r="I54" s="7" t="inlineStr"/>
      <c r="J54" s="7" t="inlineStr"/>
      <c r="K54" s="7" t="inlineStr"/>
      <c r="L54" s="7" t="inlineStr"/>
      <c r="M54" s="7" t="inlineStr"/>
      <c r="N54" s="7" t="inlineStr"/>
      <c r="O54" s="6" t="inlineStr"/>
      <c r="P54" s="6" t="inlineStr">
        <is>
          <t>connections.md:7; context/about-business.md:5</t>
        </is>
      </c>
      <c r="Q54" s="6" t="inlineStr">
        <is>
          <t>INFERRED - no source names an owner. Shopify is registered as the revenue connection and named as the primary DTC revenue track, but no skill assigns ownership or a gate. A defaults to AB.</t>
        </is>
      </c>
    </row>
    <row r="55">
      <c r="A55" s="5" t="inlineStr">
        <is>
          <t>Ecommerce &amp; DTC</t>
        </is>
      </c>
      <c r="B55" s="6" t="inlineStr">
        <is>
          <t>Daily DTC fulfillment KPIs and the SJ Shipping Dashboard</t>
        </is>
      </c>
      <c r="C55" s="7" t="inlineStr"/>
      <c r="D55" s="7" t="inlineStr"/>
      <c r="E55" s="7" t="inlineStr">
        <is>
          <t>C</t>
        </is>
      </c>
      <c r="F55" s="9" t="inlineStr">
        <is>
          <t>A/R</t>
        </is>
      </c>
      <c r="G55" s="7" t="inlineStr">
        <is>
          <t>-&gt;</t>
        </is>
      </c>
      <c r="H55" s="7" t="inlineStr"/>
      <c r="I55" s="7" t="inlineStr"/>
      <c r="J55" s="7" t="inlineStr"/>
      <c r="K55" s="7" t="inlineStr"/>
      <c r="L55" s="7" t="inlineStr"/>
      <c r="M55" s="7" t="inlineStr"/>
      <c r="N55" s="7" t="inlineStr"/>
      <c r="O55" s="6" t="inlineStr">
        <is>
          <t>Operations Specialist</t>
        </is>
      </c>
      <c r="P55" s="6" t="inlineStr">
        <is>
          <t>.claude/skills/oc3pl-order-manager/SKILL.md:61,191; .claude/skills/ayesha-weekly-briefing/SKILL.md:123</t>
        </is>
      </c>
      <c r="Q55" s="6" t="inlineStr">
        <is>
          <t>Ex-Ops-Coordinator scope, now Nicole per the interim split. A and R both NI.</t>
        </is>
      </c>
    </row>
    <row r="56">
      <c r="A56" s="5" t="inlineStr">
        <is>
          <t>Finance</t>
        </is>
      </c>
      <c r="B56" s="6" t="inlineStr">
        <is>
          <t>Margin architecture framework and quarterly portfolio review</t>
        </is>
      </c>
      <c r="C56" s="7" t="inlineStr"/>
      <c r="D56" s="7" t="inlineStr">
        <is>
          <t>C</t>
        </is>
      </c>
      <c r="E56" s="9" t="inlineStr">
        <is>
          <t>A/R</t>
        </is>
      </c>
      <c r="F56" s="7" t="inlineStr">
        <is>
          <t>C</t>
        </is>
      </c>
      <c r="G56" s="7" t="inlineStr"/>
      <c r="H56" s="7" t="inlineStr"/>
      <c r="I56" s="7" t="inlineStr"/>
      <c r="J56" s="7" t="inlineStr"/>
      <c r="K56" s="7" t="inlineStr"/>
      <c r="L56" s="7" t="inlineStr"/>
      <c r="M56" s="7" t="inlineStr"/>
      <c r="N56" s="7" t="inlineStr"/>
      <c r="O56" s="6" t="inlineStr"/>
      <c r="P56" s="6" t="inlineStr">
        <is>
          <t>.claude/skills/sjs-margin-architect/references/framework.md:209; .claude/skills/sjs-margin-portfolio-review/SKILL.md:1</t>
        </is>
      </c>
      <c r="Q56" s="6" t="inlineStr">
        <is>
          <t>Framework reference plus the quarterly portfolio sweep and traffic-light report. A and R both AB.</t>
        </is>
      </c>
    </row>
    <row r="57">
      <c r="A57" s="5" t="inlineStr">
        <is>
          <t>Finance</t>
        </is>
      </c>
      <c r="B57" s="6" t="inlineStr">
        <is>
          <t>Per-SKU margin pressure-test against channel floors</t>
        </is>
      </c>
      <c r="C57" s="7" t="inlineStr"/>
      <c r="D57" s="7" t="inlineStr">
        <is>
          <t>I</t>
        </is>
      </c>
      <c r="E57" s="8" t="inlineStr">
        <is>
          <t>R</t>
        </is>
      </c>
      <c r="F57" s="7" t="inlineStr">
        <is>
          <t>C</t>
        </is>
      </c>
      <c r="G57" s="7" t="inlineStr"/>
      <c r="H57" s="7" t="inlineStr"/>
      <c r="I57" s="7" t="inlineStr">
        <is>
          <t>C</t>
        </is>
      </c>
      <c r="J57" s="7" t="inlineStr"/>
      <c r="K57" s="7" t="inlineStr"/>
      <c r="L57" s="7" t="inlineStr"/>
      <c r="M57" s="7" t="inlineStr"/>
      <c r="N57" s="9" t="inlineStr">
        <is>
          <t>A</t>
        </is>
      </c>
      <c r="O57" s="6" t="inlineStr"/>
      <c r="P57" s="6" t="inlineStr">
        <is>
          <t>.claude/skills/sjs-margin-pressure-test/SKILL.md:93</t>
        </is>
      </c>
      <c r="Q57" s="6" t="inlineStr">
        <is>
          <t>Flagged as Perrine and Soraya's call to ratify, with Alvin on admin, Nicole consulting and Danielle approving.</t>
        </is>
      </c>
    </row>
    <row r="58">
      <c r="A58" s="5" t="inlineStr">
        <is>
          <t>Finance</t>
        </is>
      </c>
      <c r="B58" s="6" t="inlineStr">
        <is>
          <t>Walk-away decision when a SKU breaks its channel floor</t>
        </is>
      </c>
      <c r="C58" s="7" t="inlineStr"/>
      <c r="D58" s="9" t="inlineStr">
        <is>
          <t>A</t>
        </is>
      </c>
      <c r="E58" s="8" t="inlineStr">
        <is>
          <t>R</t>
        </is>
      </c>
      <c r="F58" s="7" t="inlineStr">
        <is>
          <t>C</t>
        </is>
      </c>
      <c r="G58" s="7" t="inlineStr"/>
      <c r="H58" s="7" t="inlineStr"/>
      <c r="I58" s="7" t="inlineStr">
        <is>
          <t>C</t>
        </is>
      </c>
      <c r="J58" s="7" t="inlineStr"/>
      <c r="K58" s="7" t="inlineStr"/>
      <c r="L58" s="7" t="inlineStr"/>
      <c r="M58" s="7" t="inlineStr"/>
      <c r="N58" s="7" t="inlineStr">
        <is>
          <t>C</t>
        </is>
      </c>
      <c r="O58" s="6" t="inlineStr"/>
      <c r="P58" s="6" t="inlineStr">
        <is>
          <t>.claude/skills/sjs-margin-walk-away/SKILL.md:93,105,118</t>
        </is>
      </c>
      <c r="Q58" s="6" t="inlineStr">
        <is>
          <t>Danielle approves on three of the four paths. Alvin carries the work on all four.</t>
        </is>
      </c>
    </row>
    <row r="59">
      <c r="A59" s="5" t="inlineStr">
        <is>
          <t>Finance</t>
        </is>
      </c>
      <c r="B59" s="6" t="inlineStr">
        <is>
          <t>SKU archetype and Standard / Acquisition designation</t>
        </is>
      </c>
      <c r="C59" s="7" t="inlineStr"/>
      <c r="D59" s="7" t="inlineStr">
        <is>
          <t>I</t>
        </is>
      </c>
      <c r="E59" s="8" t="inlineStr">
        <is>
          <t>R</t>
        </is>
      </c>
      <c r="F59" s="7" t="inlineStr">
        <is>
          <t>C</t>
        </is>
      </c>
      <c r="G59" s="7" t="inlineStr"/>
      <c r="H59" s="7" t="inlineStr"/>
      <c r="I59" s="7" t="inlineStr"/>
      <c r="J59" s="7" t="inlineStr"/>
      <c r="K59" s="7" t="inlineStr"/>
      <c r="L59" s="7" t="inlineStr"/>
      <c r="M59" s="7" t="inlineStr"/>
      <c r="N59" s="9" t="inlineStr">
        <is>
          <t>A</t>
        </is>
      </c>
      <c r="O59" s="6" t="inlineStr"/>
      <c r="P59" s="6" t="inlineStr">
        <is>
          <t>.claude/skills/sjs-margin-walk-away/SKILL.md:78</t>
        </is>
      </c>
      <c r="Q59" s="6" t="inlineStr">
        <is>
          <t>Perrine as PD owner with Alvin on PD admin and sourcing; Nicole consults.</t>
        </is>
      </c>
    </row>
    <row r="60">
      <c r="A60" s="5" t="inlineStr">
        <is>
          <t>Finance</t>
        </is>
      </c>
      <c r="B60" s="6" t="inlineStr">
        <is>
          <t>Monthly and quarterly vendor cost rollups</t>
        </is>
      </c>
      <c r="C60" s="7" t="inlineStr"/>
      <c r="D60" s="7" t="inlineStr">
        <is>
          <t>I</t>
        </is>
      </c>
      <c r="E60" s="9" t="inlineStr">
        <is>
          <t>A/R</t>
        </is>
      </c>
      <c r="F60" s="7" t="inlineStr"/>
      <c r="G60" s="7" t="inlineStr"/>
      <c r="H60" s="7" t="inlineStr"/>
      <c r="I60" s="7" t="inlineStr"/>
      <c r="J60" s="7" t="inlineStr"/>
      <c r="K60" s="7" t="inlineStr"/>
      <c r="L60" s="7" t="inlineStr"/>
      <c r="M60" s="7" t="inlineStr"/>
      <c r="N60" s="7" t="inlineStr"/>
      <c r="O60" s="6" t="inlineStr"/>
      <c r="P60" s="6" t="inlineStr">
        <is>
          <t>.claude/skills/regulatory-manager/SKILL.md:196; .claude/skills/purchasing-manager/SKILL.md:365</t>
        </is>
      </c>
      <c r="Q60" s="6" t="inlineStr">
        <is>
          <t>regulatory-manager Jobs 8 and 9 read vendor_invoices directly; purchasing-manager has no rollup of its own. A and R both AB.</t>
        </is>
      </c>
    </row>
    <row r="61">
      <c r="A61" s="5" t="inlineStr">
        <is>
          <t>Finance</t>
        </is>
      </c>
      <c r="B61" s="6" t="inlineStr">
        <is>
          <t>Accounts payable, bookkeeping and payroll</t>
        </is>
      </c>
      <c r="C61" s="7" t="inlineStr"/>
      <c r="D61" s="7" t="inlineStr">
        <is>
          <t>C</t>
        </is>
      </c>
      <c r="E61" s="9" t="inlineStr">
        <is>
          <t>A/R</t>
        </is>
      </c>
      <c r="F61" s="7" t="inlineStr"/>
      <c r="G61" s="7" t="inlineStr"/>
      <c r="H61" s="7" t="inlineStr"/>
      <c r="I61" s="7" t="inlineStr"/>
      <c r="J61" s="7" t="inlineStr"/>
      <c r="K61" s="7" t="inlineStr"/>
      <c r="L61" s="7" t="inlineStr"/>
      <c r="M61" s="7" t="inlineStr"/>
      <c r="N61" s="7" t="inlineStr"/>
      <c r="O61" s="6" t="inlineStr"/>
      <c r="P61" s="6" t="inlineStr"/>
      <c r="Q61" s="6" t="inlineStr">
        <is>
          <t>INFERRED - no source. Finance appears only as an email-sender category (outlook-plm-bridge/SKILL.md:368) and a briefing heading (ayesha-weekly-briefing/SKILL.md:9). No owner, no approver, no gate anywhere in SJ-OS. A defaults to AB.</t>
        </is>
      </c>
    </row>
    <row r="62">
      <c r="A62" s="5" t="inlineStr">
        <is>
          <t>People &amp; Admin</t>
        </is>
      </c>
      <c r="B62" s="6" t="inlineStr">
        <is>
          <t>Hiring the Operations Specialist and the PD Project Manager Specialist</t>
        </is>
      </c>
      <c r="C62" s="7" t="inlineStr">
        <is>
          <t>I</t>
        </is>
      </c>
      <c r="D62" s="7" t="inlineStr">
        <is>
          <t>C</t>
        </is>
      </c>
      <c r="E62" s="9" t="inlineStr">
        <is>
          <t>A</t>
        </is>
      </c>
      <c r="F62" s="8" t="inlineStr">
        <is>
          <t>R</t>
        </is>
      </c>
      <c r="G62" s="7" t="inlineStr"/>
      <c r="H62" s="7" t="inlineStr"/>
      <c r="I62" s="7" t="inlineStr"/>
      <c r="J62" s="7" t="inlineStr"/>
      <c r="K62" s="7" t="inlineStr"/>
      <c r="L62" s="7" t="inlineStr"/>
      <c r="M62" s="7" t="inlineStr"/>
      <c r="N62" s="7" t="inlineStr"/>
      <c r="O62" s="6" t="inlineStr"/>
      <c r="P62" s="6" t="inlineStr">
        <is>
          <t>decisions/log.md:52,58; context/priorities.md:3</t>
        </is>
      </c>
      <c r="Q62" s="6" t="inlineStr">
        <is>
          <t>Both new roles report to Nicole. Decision owner recorded as Alvin, with Nicole on the two new roles once filled. Priority 1 of 2 this quarter.</t>
        </is>
      </c>
    </row>
    <row r="63">
      <c r="A63" s="5" t="inlineStr">
        <is>
          <t>People &amp; Admin</t>
        </is>
      </c>
      <c r="B63" s="6" t="inlineStr">
        <is>
          <t>Tool procurement, vendor renewals and shared-folder admin</t>
        </is>
      </c>
      <c r="C63" s="7" t="inlineStr"/>
      <c r="D63" s="7" t="inlineStr"/>
      <c r="E63" s="9" t="inlineStr">
        <is>
          <t>A/R</t>
        </is>
      </c>
      <c r="F63" s="7" t="inlineStr">
        <is>
          <t>C</t>
        </is>
      </c>
      <c r="G63" s="7" t="inlineStr"/>
      <c r="H63" s="7" t="inlineStr"/>
      <c r="I63" s="7" t="inlineStr"/>
      <c r="J63" s="7" t="inlineStr"/>
      <c r="K63" s="7" t="inlineStr"/>
      <c r="L63" s="7" t="inlineStr">
        <is>
          <t>C</t>
        </is>
      </c>
      <c r="M63" s="7" t="inlineStr"/>
      <c r="N63" s="7" t="inlineStr"/>
      <c r="O63" s="6" t="inlineStr"/>
      <c r="P63" s="6" t="inlineStr">
        <is>
          <t>.claude/skills/sjs-comp-intel/references/team-ownership.md:50; .claude/skills/sjs-comp-intel/references/sequencing-plan.md:12</t>
        </is>
      </c>
      <c r="Q63" s="6" t="inlineStr">
        <is>
          <t>Ex-Ops-Coordinator scope. Alvin carries it directly until the Operations Specialist starts. A and R both AB.</t>
        </is>
      </c>
    </row>
    <row r="64">
      <c r="A64" s="5" t="inlineStr">
        <is>
          <t>People &amp; Admin</t>
        </is>
      </c>
      <c r="B64" s="6" t="inlineStr">
        <is>
          <t>Employee onboarding, offboarding and access deprovisioning</t>
        </is>
      </c>
      <c r="C64" s="7" t="inlineStr"/>
      <c r="D64" s="7" t="inlineStr"/>
      <c r="E64" s="9" t="inlineStr">
        <is>
          <t>A/R</t>
        </is>
      </c>
      <c r="F64" s="7" t="inlineStr">
        <is>
          <t>C</t>
        </is>
      </c>
      <c r="G64" s="7" t="inlineStr"/>
      <c r="H64" s="7" t="inlineStr"/>
      <c r="I64" s="7" t="inlineStr"/>
      <c r="J64" s="7" t="inlineStr"/>
      <c r="K64" s="7" t="inlineStr"/>
      <c r="L64" s="7" t="inlineStr"/>
      <c r="M64" s="7" t="inlineStr"/>
      <c r="N64" s="7" t="inlineStr"/>
      <c r="O64" s="6" t="inlineStr"/>
      <c r="P64" s="6" t="inlineStr">
        <is>
          <t>.claude/skills/asana-pd-manager/references/role-map.md:48-56</t>
        </is>
      </c>
      <c r="Q64" s="6" t="inlineStr">
        <is>
          <t>INFERRED - no named owner. The departed-role-holder checklist is the only offboarding process documented anywhere in SJ-OS, and it exists because a stale role row broke collaborator resolution. A defaults to AB.</t>
        </is>
      </c>
    </row>
    <row r="65">
      <c r="A65" s="5" t="inlineStr">
        <is>
          <t>IT / Systems &amp; Data</t>
        </is>
      </c>
      <c r="B65" s="6" t="inlineStr">
        <is>
          <t>PLM schema, write path, audit log and Supabase wiki custody</t>
        </is>
      </c>
      <c r="C65" s="7" t="inlineStr"/>
      <c r="D65" s="7" t="inlineStr"/>
      <c r="E65" s="9" t="inlineStr">
        <is>
          <t>A/R</t>
        </is>
      </c>
      <c r="F65" s="7" t="inlineStr"/>
      <c r="G65" s="7" t="inlineStr"/>
      <c r="H65" s="7" t="inlineStr"/>
      <c r="I65" s="7" t="inlineStr"/>
      <c r="J65" s="7" t="inlineStr"/>
      <c r="K65" s="7" t="inlineStr"/>
      <c r="L65" s="7" t="inlineStr"/>
      <c r="M65" s="7" t="inlineStr"/>
      <c r="N65" s="7" t="inlineStr">
        <is>
          <t>C</t>
        </is>
      </c>
      <c r="O65" s="6" t="inlineStr"/>
      <c r="P65" s="6" t="inlineStr">
        <is>
          <t>.claude/skills/plm-assistant/SKILL.md:292; decisions/wiki-layer-audit-2026-07-29.md:52</t>
        </is>
      </c>
      <c r="Q65" s="6" t="inlineStr">
        <is>
          <t>plm-assistant is the sole PLM writer and every write needs Operations sign-off. Job 0 wiki write-back has not fired since 2026-05-26. A and R both AB.</t>
        </is>
      </c>
    </row>
    <row r="66">
      <c r="A66" s="5" t="inlineStr">
        <is>
          <t>IT / Systems &amp; Data</t>
        </is>
      </c>
      <c r="B66" s="6" t="inlineStr">
        <is>
          <t>Landing hub publish and Netlify Function maintenance</t>
        </is>
      </c>
      <c r="C66" s="7" t="inlineStr"/>
      <c r="D66" s="7" t="inlineStr"/>
      <c r="E66" s="9" t="inlineStr">
        <is>
          <t>A/R</t>
        </is>
      </c>
      <c r="F66" s="7" t="inlineStr"/>
      <c r="G66" s="7" t="inlineStr"/>
      <c r="H66" s="7" t="inlineStr"/>
      <c r="I66" s="7" t="inlineStr"/>
      <c r="J66" s="7" t="inlineStr"/>
      <c r="K66" s="7" t="inlineStr"/>
      <c r="L66" s="7" t="inlineStr"/>
      <c r="M66" s="7" t="inlineStr"/>
      <c r="N66" s="7" t="inlineStr"/>
      <c r="O66" s="6" t="inlineStr"/>
      <c r="P66" s="6" t="inlineStr">
        <is>
          <t>.claude/skills/quality-status-reporter/SKILL.md:34-50; .claude/skills/quality-status-reporter/references/hub-integration.md:85</t>
        </is>
      </c>
      <c r="Q66" s="6" t="inlineStr">
        <is>
          <t>All hub writes go through the landing-hub-publish Function behind an Operator gate. Deploy is commit-and-push only, never Netlify CLI. A and R both AB.</t>
        </is>
      </c>
    </row>
    <row r="67">
      <c r="A67" s="5" t="inlineStr">
        <is>
          <t>IT / Systems &amp; Data</t>
        </is>
      </c>
      <c r="B67" s="6" t="inlineStr">
        <is>
          <t>Asana project, section, custom-field and connector configuration</t>
        </is>
      </c>
      <c r="C67" s="7" t="inlineStr"/>
      <c r="D67" s="7" t="inlineStr"/>
      <c r="E67" s="9" t="inlineStr">
        <is>
          <t>A/R</t>
        </is>
      </c>
      <c r="F67" s="7" t="inlineStr">
        <is>
          <t>C</t>
        </is>
      </c>
      <c r="G67" s="7" t="inlineStr"/>
      <c r="H67" s="7" t="inlineStr"/>
      <c r="I67" s="7" t="inlineStr"/>
      <c r="J67" s="7" t="inlineStr"/>
      <c r="K67" s="7" t="inlineStr"/>
      <c r="L67" s="7" t="inlineStr"/>
      <c r="M67" s="7" t="inlineStr"/>
      <c r="N67" s="7" t="inlineStr"/>
      <c r="O67" s="6" t="inlineStr"/>
      <c r="P67" s="6" t="inlineStr">
        <is>
          <t>references/architecture/asana_task_contract.md:227; connections.md:5-13</t>
        </is>
      </c>
      <c r="Q67" s="6" t="inlineStr">
        <is>
          <t>An unresolvable role-holder is surfaced for Alvin to decide, not dropped. Seven tool domains registered; iMessage still not connected. A and R both AB.</t>
        </is>
      </c>
    </row>
    <row r="68">
      <c r="A68" s="5" t="inlineStr">
        <is>
          <t>IT / Systems &amp; Data</t>
        </is>
      </c>
      <c r="B68" s="6" t="inlineStr">
        <is>
          <t>Skill suite authorship, audit and versioning</t>
        </is>
      </c>
      <c r="C68" s="7" t="inlineStr"/>
      <c r="D68" s="7" t="inlineStr"/>
      <c r="E68" s="9" t="inlineStr">
        <is>
          <t>A/R</t>
        </is>
      </c>
      <c r="F68" s="7" t="inlineStr"/>
      <c r="G68" s="7" t="inlineStr"/>
      <c r="H68" s="7" t="inlineStr"/>
      <c r="I68" s="7" t="inlineStr"/>
      <c r="J68" s="7" t="inlineStr"/>
      <c r="K68" s="7" t="inlineStr"/>
      <c r="L68" s="7" t="inlineStr"/>
      <c r="M68" s="7" t="inlineStr"/>
      <c r="N68" s="7" t="inlineStr"/>
      <c r="O68" s="6" t="inlineStr"/>
      <c r="P68" s="6" t="inlineStr">
        <is>
          <t>decisions/skills-architecture-tracker.md:4; decisions/log.md:31,45</t>
        </is>
      </c>
      <c r="Q68" s="6" t="inlineStr">
        <is>
          <t>Owner recorded as Alvin Belt across the architecture decisions. Priority 2 of 2 this quarter. A and R both AB.</t>
        </is>
      </c>
    </row>
    <row r="69">
      <c r="A69" s="5" t="inlineStr">
        <is>
          <t>IT / Systems &amp; Data</t>
        </is>
      </c>
      <c r="B69" s="6" t="inlineStr">
        <is>
          <t>The 23 scheduled Routines and their HITL gates</t>
        </is>
      </c>
      <c r="C69" s="7" t="inlineStr"/>
      <c r="D69" s="7" t="inlineStr"/>
      <c r="E69" s="9" t="inlineStr">
        <is>
          <t>A/R</t>
        </is>
      </c>
      <c r="F69" s="7" t="inlineStr">
        <is>
          <t>I</t>
        </is>
      </c>
      <c r="G69" s="7" t="inlineStr"/>
      <c r="H69" s="7" t="inlineStr"/>
      <c r="I69" s="7" t="inlineStr"/>
      <c r="J69" s="7" t="inlineStr"/>
      <c r="K69" s="7" t="inlineStr"/>
      <c r="L69" s="7" t="inlineStr"/>
      <c r="M69" s="7" t="inlineStr"/>
      <c r="N69" s="7" t="inlineStr"/>
      <c r="O69" s="6" t="inlineStr"/>
      <c r="P69" s="6" t="inlineStr">
        <is>
          <t>scheduled-prompts/weekly-pd-update.md:91; scheduled-prompts/sjs-purchasing-monthly-rollup-and-snapshot.md:79</t>
        </is>
      </c>
      <c r="Q69" s="6" t="inlineStr">
        <is>
          <t>Nothing commits until Alvin says go. Same pattern across all 23 Routines, including the ones that fire unattended on a schedule. A and R both AB.</t>
        </is>
      </c>
    </row>
    <row r="70">
      <c r="A70" s="5" t="inlineStr">
        <is>
          <t>Quality</t>
        </is>
      </c>
      <c r="B70" s="6" t="inlineStr">
        <is>
          <t>Final quality check on product and documentation across every function</t>
        </is>
      </c>
      <c r="C70" s="7" t="inlineStr">
        <is>
          <t>I</t>
        </is>
      </c>
      <c r="D70" s="7" t="inlineStr">
        <is>
          <t>I</t>
        </is>
      </c>
      <c r="E70" s="7" t="inlineStr">
        <is>
          <t>C</t>
        </is>
      </c>
      <c r="F70" s="9" t="inlineStr">
        <is>
          <t>A/R</t>
        </is>
      </c>
      <c r="G70" s="7" t="inlineStr"/>
      <c r="H70" s="7" t="inlineStr"/>
      <c r="I70" s="7" t="inlineStr">
        <is>
          <t>C</t>
        </is>
      </c>
      <c r="J70" s="7" t="inlineStr"/>
      <c r="K70" s="7" t="inlineStr">
        <is>
          <t>C</t>
        </is>
      </c>
      <c r="L70" s="7" t="inlineStr"/>
      <c r="M70" s="7" t="inlineStr"/>
      <c r="N70" s="7" t="inlineStr">
        <is>
          <t>C</t>
        </is>
      </c>
      <c r="O70" s="6" t="inlineStr"/>
      <c r="P70" s="6" t="inlineStr">
        <is>
          <t>Leadership Business Review 2026-07-30 25:35-26:01</t>
        </is>
      </c>
      <c r="Q70"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71">
      <c r="A71" s="5" t="inlineStr">
        <is>
          <t>Quality</t>
        </is>
      </c>
      <c r="B71" s="6" t="inlineStr">
        <is>
          <t>Quality management system framework and monthly quality-trend review</t>
        </is>
      </c>
      <c r="C71" s="7" t="inlineStr"/>
      <c r="D71" s="7" t="inlineStr">
        <is>
          <t>I</t>
        </is>
      </c>
      <c r="E71" s="9" t="inlineStr">
        <is>
          <t>A</t>
        </is>
      </c>
      <c r="F71" s="8" t="inlineStr">
        <is>
          <t>R</t>
        </is>
      </c>
      <c r="G71" s="7" t="inlineStr"/>
      <c r="H71" s="7" t="inlineStr"/>
      <c r="I71" s="7" t="inlineStr"/>
      <c r="J71" s="7" t="inlineStr"/>
      <c r="K71" s="7" t="inlineStr"/>
      <c r="L71" s="7" t="inlineStr"/>
      <c r="M71" s="7" t="inlineStr"/>
      <c r="N71" s="7" t="inlineStr">
        <is>
          <t>C</t>
        </is>
      </c>
      <c r="O71" s="6" t="inlineStr"/>
      <c r="P71" s="6" t="inlineStr">
        <is>
          <t>Leadership Business Review 2026-07-30 25:18-26:17</t>
        </is>
      </c>
      <c r="Q71" s="6" t="inlineStr">
        <is>
          <t>Alvin owns the overall framework; Nicole runs it. Monthly trend review so recurring issues (the pump issue was the worked example) can drive packaging or formula decisions. Target: implemented by end of Q3.</t>
        </is>
      </c>
    </row>
    <row r="72">
      <c r="A72" s="5" t="inlineStr">
        <is>
          <t>Product Development</t>
        </is>
      </c>
      <c r="B72" s="6" t="inlineStr">
        <is>
          <t>Document control: specifications, dielines, artwork versions, BOMs, landed-cost integrity</t>
        </is>
      </c>
      <c r="C72" s="7" t="inlineStr"/>
      <c r="D72" s="7" t="inlineStr"/>
      <c r="E72" s="8" t="inlineStr">
        <is>
          <t>R</t>
        </is>
      </c>
      <c r="F72" s="9" t="inlineStr">
        <is>
          <t>A</t>
        </is>
      </c>
      <c r="G72" s="7" t="inlineStr"/>
      <c r="H72" s="7" t="inlineStr">
        <is>
          <t>-&gt;</t>
        </is>
      </c>
      <c r="I72" s="7" t="inlineStr"/>
      <c r="J72" s="7" t="inlineStr"/>
      <c r="K72" s="7" t="inlineStr">
        <is>
          <t>C</t>
        </is>
      </c>
      <c r="L72" s="7" t="inlineStr"/>
      <c r="M72" s="7" t="inlineStr">
        <is>
          <t>C</t>
        </is>
      </c>
      <c r="N72" s="7" t="inlineStr">
        <is>
          <t>C</t>
        </is>
      </c>
      <c r="O72" s="6" t="inlineStr">
        <is>
          <t>Product Development Specialist</t>
        </is>
      </c>
      <c r="P72" s="6" t="inlineStr">
        <is>
          <t>SharePoint: Sweet July Skin - Product Development Specialist - Job Description.docx</t>
        </is>
      </c>
      <c r="Q72" s="6" t="inlineStr">
        <is>
          <t>Documentation quality is Nicole's gate. The PD Specialist JD names document control as a core responsibility, so this row transitions on hire.</t>
        </is>
      </c>
    </row>
    <row r="73">
      <c r="A73" s="5" t="inlineStr">
        <is>
          <t>Operations &amp; Supply Chain</t>
        </is>
      </c>
      <c r="B73" s="6" t="inlineStr">
        <is>
          <t>Production scheduling with manufacturing partners</t>
        </is>
      </c>
      <c r="C73" s="7" t="inlineStr"/>
      <c r="D73" s="7" t="inlineStr"/>
      <c r="E73" s="9" t="inlineStr">
        <is>
          <t>A/R</t>
        </is>
      </c>
      <c r="F73" s="7" t="inlineStr">
        <is>
          <t>C</t>
        </is>
      </c>
      <c r="G73" s="7" t="inlineStr">
        <is>
          <t>-&gt;</t>
        </is>
      </c>
      <c r="H73" s="7" t="inlineStr"/>
      <c r="I73" s="7" t="inlineStr"/>
      <c r="J73" s="7" t="inlineStr"/>
      <c r="K73" s="7" t="inlineStr"/>
      <c r="L73" s="7" t="inlineStr"/>
      <c r="M73" s="7" t="inlineStr"/>
      <c r="N73" s="7" t="inlineStr">
        <is>
          <t>C</t>
        </is>
      </c>
      <c r="O73" s="6" t="inlineStr">
        <is>
          <t>Operations Specialist</t>
        </is>
      </c>
      <c r="P73" s="6" t="inlineStr">
        <is>
          <t>SharePoint: Sweet July Skin - Operations Specialist - Job Description.docx; Leadership Business Review 2026-07-30 35:18</t>
        </is>
      </c>
      <c r="Q73" s="6" t="inlineStr">
        <is>
          <t>Named in the Ops Specialist JD under Planning &amp; Special Projects. Today Alvin coordinates KDC scheduling directly. A and R both AB until the seat is filled.</t>
        </is>
      </c>
    </row>
    <row r="74">
      <c r="A74" s="5" t="inlineStr">
        <is>
          <t>Ecommerce &amp; DTC</t>
        </is>
      </c>
      <c r="B74" s="6" t="inlineStr">
        <is>
          <t>Channel operations and promo setup across DTC, UBM and Amazon</t>
        </is>
      </c>
      <c r="C74" s="7" t="inlineStr"/>
      <c r="D74" s="7" t="inlineStr">
        <is>
          <t>I</t>
        </is>
      </c>
      <c r="E74" s="8" t="inlineStr">
        <is>
          <t>R</t>
        </is>
      </c>
      <c r="F74" s="9" t="inlineStr">
        <is>
          <t>A</t>
        </is>
      </c>
      <c r="G74" s="7" t="inlineStr">
        <is>
          <t>-&gt;</t>
        </is>
      </c>
      <c r="H74" s="7" t="inlineStr"/>
      <c r="I74" s="7" t="inlineStr">
        <is>
          <t>C</t>
        </is>
      </c>
      <c r="J74" s="7" t="inlineStr">
        <is>
          <t>C</t>
        </is>
      </c>
      <c r="K74" s="7" t="inlineStr"/>
      <c r="L74" s="7" t="inlineStr"/>
      <c r="M74" s="7" t="inlineStr"/>
      <c r="N74" s="7" t="inlineStr"/>
      <c r="O74" s="6" t="inlineStr">
        <is>
          <t>Operations Specialist</t>
        </is>
      </c>
      <c r="P74" s="6" t="inlineStr">
        <is>
          <t>SharePoint: Sweet July Skin - Operations Specialist - Job Description.docx</t>
        </is>
      </c>
      <c r="Q74" s="6" t="inlineStr">
        <is>
          <t>Named in the Ops Specialist JD under Order Management &amp; Channel Operations. Nicole holds the channel relationship.</t>
        </is>
      </c>
    </row>
    <row r="75">
      <c r="A75" s="5" t="inlineStr">
        <is>
          <t>Ecommerce &amp; DTC</t>
        </is>
      </c>
      <c r="B75" s="6" t="inlineStr">
        <is>
          <t>Proactive reships and fulfillment-issue resolution</t>
        </is>
      </c>
      <c r="C75" s="7" t="inlineStr"/>
      <c r="D75" s="7" t="inlineStr"/>
      <c r="E75" s="7" t="inlineStr">
        <is>
          <t>C</t>
        </is>
      </c>
      <c r="F75" s="9" t="inlineStr">
        <is>
          <t>A/R</t>
        </is>
      </c>
      <c r="G75" s="7" t="inlineStr">
        <is>
          <t>-&gt;</t>
        </is>
      </c>
      <c r="H75" s="7" t="inlineStr"/>
      <c r="I75" s="7" t="inlineStr"/>
      <c r="J75" s="7" t="inlineStr"/>
      <c r="K75" s="7" t="inlineStr"/>
      <c r="L75" s="7" t="inlineStr"/>
      <c r="M75" s="7" t="inlineStr"/>
      <c r="N75" s="7" t="inlineStr"/>
      <c r="O75" s="6" t="inlineStr">
        <is>
          <t>Operations Specialist</t>
        </is>
      </c>
      <c r="P75" s="6" t="inlineStr">
        <is>
          <t>SharePoint: Sweet July Skin - Operations Specialist - Job Description.docx</t>
        </is>
      </c>
      <c r="Q75" s="6" t="inlineStr">
        <is>
          <t>JD wording: resolve fulfillment issues "before a customer has to follow up." Sits inside Nicole's interim OC3PL coverage. A and R both NI.</t>
        </is>
      </c>
    </row>
    <row r="76">
      <c r="A76" s="5" t="inlineStr">
        <is>
          <t>Marketing &amp; Brand</t>
        </is>
      </c>
      <c r="B76" s="6" t="inlineStr">
        <is>
          <t>Operational special projects: labels, PR seeding, sampling</t>
        </is>
      </c>
      <c r="C76" s="7" t="inlineStr"/>
      <c r="D76" s="7" t="inlineStr"/>
      <c r="E76" s="8" t="inlineStr">
        <is>
          <t>R</t>
        </is>
      </c>
      <c r="F76" s="9" t="inlineStr">
        <is>
          <t>A</t>
        </is>
      </c>
      <c r="G76" s="7" t="inlineStr">
        <is>
          <t>-&gt;</t>
        </is>
      </c>
      <c r="H76" s="7" t="inlineStr"/>
      <c r="I76" s="7" t="inlineStr">
        <is>
          <t>C</t>
        </is>
      </c>
      <c r="J76" s="7" t="inlineStr">
        <is>
          <t>C</t>
        </is>
      </c>
      <c r="K76" s="7" t="inlineStr">
        <is>
          <t>C</t>
        </is>
      </c>
      <c r="L76" s="7" t="inlineStr"/>
      <c r="M76" s="7" t="inlineStr"/>
      <c r="N76" s="7" t="inlineStr"/>
      <c r="O76" s="6" t="inlineStr">
        <is>
          <t>Operations Specialist</t>
        </is>
      </c>
      <c r="P76" s="6" t="inlineStr">
        <is>
          <t>SharePoint: Sweet July Skin - Operations Specialist - Job Description.docx; Email to Danielle 2026-07-27 'Proposed Ops Positions'</t>
        </is>
      </c>
      <c r="Q76" s="6" t="inlineStr">
        <is>
          <t>Named in the Ops Specialist JD, and in the email as making sure product is where it needs to be for launches, promos, PR seeding and sampling.</t>
        </is>
      </c>
    </row>
    <row r="77">
      <c r="A77" s="5" t="inlineStr">
        <is>
          <t>People &amp; Admin</t>
        </is>
      </c>
      <c r="B77" s="6" t="inlineStr">
        <is>
          <t>Operations Specialist recruiting</t>
        </is>
      </c>
      <c r="C77" s="7" t="inlineStr">
        <is>
          <t>I</t>
        </is>
      </c>
      <c r="D77" s="7" t="inlineStr">
        <is>
          <t>C</t>
        </is>
      </c>
      <c r="E77" s="9" t="inlineStr">
        <is>
          <t>A</t>
        </is>
      </c>
      <c r="F77" s="8" t="inlineStr">
        <is>
          <t>R</t>
        </is>
      </c>
      <c r="G77" s="7" t="inlineStr"/>
      <c r="H77" s="7" t="inlineStr"/>
      <c r="I77" s="7" t="inlineStr"/>
      <c r="J77" s="7" t="inlineStr"/>
      <c r="K77" s="7" t="inlineStr"/>
      <c r="L77" s="7" t="inlineStr"/>
      <c r="M77" s="7" t="inlineStr"/>
      <c r="N77" s="7" t="inlineStr"/>
      <c r="O77" s="6" t="inlineStr"/>
      <c r="P77" s="6" t="inlineStr">
        <is>
          <t>Leadership Business Review 2026-07-30 52:48-53:17; Email to Danielle 2026-07-27 'Proposed Ops Positions'</t>
        </is>
      </c>
      <c r="Q77" s="6" t="inlineStr">
        <is>
          <t>Prioritized first. Danielle: "we're going to prioritize the operations... Specialist." Reports to Nicole. Target in place before Q4. Salary band $72-90K.</t>
        </is>
      </c>
    </row>
    <row r="78">
      <c r="A78" s="5" t="inlineStr">
        <is>
          <t>People &amp; Admin</t>
        </is>
      </c>
      <c r="B78" s="6" t="inlineStr">
        <is>
          <t>PD Specialist role definition and phased recruiting</t>
        </is>
      </c>
      <c r="C78" s="7" t="inlineStr">
        <is>
          <t>I</t>
        </is>
      </c>
      <c r="D78" s="7" t="inlineStr">
        <is>
          <t>C</t>
        </is>
      </c>
      <c r="E78" s="9" t="inlineStr">
        <is>
          <t>A</t>
        </is>
      </c>
      <c r="F78" s="8" t="inlineStr">
        <is>
          <t>R</t>
        </is>
      </c>
      <c r="G78" s="7" t="inlineStr"/>
      <c r="H78" s="7" t="inlineStr"/>
      <c r="I78" s="7" t="inlineStr"/>
      <c r="J78" s="7" t="inlineStr"/>
      <c r="K78" s="7" t="inlineStr"/>
      <c r="L78" s="7" t="inlineStr"/>
      <c r="M78" s="7" t="inlineStr"/>
      <c r="N78" s="7" t="inlineStr"/>
      <c r="O78" s="6" t="inlineStr"/>
      <c r="P78" s="6" t="inlineStr">
        <is>
          <t>Leadership Business Review 2026-07-30 53:17-57:10; Email to Danielle 2026-07-27 'Proposed Ops Positions'</t>
        </is>
      </c>
      <c r="Q78" s="6" t="inlineStr">
        <is>
          <t>Phased in after the Ops Specialist. Danielle scopes it as "air traffic control, holding people accountable" rather than strategy or ideation, and is adding trend-forecasting language to the JD. Reports to Nicole. Salary band $75-95K.</t>
        </is>
      </c>
    </row>
    <row r="79">
      <c r="A79" s="5" t="inlineStr">
        <is>
          <t>People &amp; Admin</t>
        </is>
      </c>
      <c r="B79" s="6" t="inlineStr">
        <is>
          <t>SOP cleanup and operational prep before new-hire onboarding</t>
        </is>
      </c>
      <c r="C79" s="7" t="inlineStr"/>
      <c r="D79" s="7" t="inlineStr">
        <is>
          <t>I</t>
        </is>
      </c>
      <c r="E79" s="9" t="inlineStr">
        <is>
          <t>A</t>
        </is>
      </c>
      <c r="F79" s="8" t="inlineStr">
        <is>
          <t>R</t>
        </is>
      </c>
      <c r="G79" s="7" t="inlineStr"/>
      <c r="H79" s="7" t="inlineStr"/>
      <c r="I79" s="7" t="inlineStr"/>
      <c r="J79" s="7" t="inlineStr"/>
      <c r="K79" s="7" t="inlineStr"/>
      <c r="L79" s="7" t="inlineStr"/>
      <c r="M79" s="7" t="inlineStr"/>
      <c r="N79" s="7" t="inlineStr"/>
      <c r="O79" s="6" t="inlineStr"/>
      <c r="P79" s="6" t="inlineStr">
        <is>
          <t>Leadership Business Review 2026-07-30 54:24-55:43, 1:00:32</t>
        </is>
      </c>
      <c r="Q79" s="6" t="inlineStr">
        <is>
          <t>Danielle's condition on the hire: clean up the system first so the role can function. Nicole's action item from the review.</t>
        </is>
      </c>
    </row>
    <row r="80">
      <c r="A80" s="5" t="inlineStr">
        <is>
          <t>IT / Systems &amp; Data</t>
        </is>
      </c>
      <c r="B80" s="6" t="inlineStr">
        <is>
          <t>RACI and role framework across Operations and PD</t>
        </is>
      </c>
      <c r="C80" s="7" t="inlineStr"/>
      <c r="D80" s="7" t="inlineStr">
        <is>
          <t>C</t>
        </is>
      </c>
      <c r="E80" s="9" t="inlineStr">
        <is>
          <t>A</t>
        </is>
      </c>
      <c r="F80" s="8" t="inlineStr">
        <is>
          <t>R</t>
        </is>
      </c>
      <c r="G80" s="7" t="inlineStr"/>
      <c r="H80" s="7" t="inlineStr"/>
      <c r="I80" s="7" t="inlineStr"/>
      <c r="J80" s="7" t="inlineStr"/>
      <c r="K80" s="7" t="inlineStr"/>
      <c r="L80" s="7" t="inlineStr"/>
      <c r="M80" s="7" t="inlineStr"/>
      <c r="N80" s="7" t="inlineStr"/>
      <c r="O80" s="6" t="inlineStr"/>
      <c r="P80" s="6" t="inlineStr">
        <is>
          <t>Leadership Business Review 2026-07-30 52:12-52:39</t>
        </is>
      </c>
      <c r="Q80" s="6" t="inlineStr">
        <is>
          <t>Alvin owns the framework, built with Nicole in the builder session, then to Danielle for final review before it goes to Calm HR to start recruiting.</t>
        </is>
      </c>
    </row>
    <row r="82">
      <c r="A82" s="10" t="inlineStr">
        <is>
          <t>Legend</t>
        </is>
      </c>
    </row>
    <row r="83">
      <c r="A83" s="11" t="n"/>
      <c r="B83" s="12" t="inlineStr">
        <is>
          <t>A = answers for the outcome (exactly one per row)</t>
        </is>
      </c>
    </row>
    <row r="84">
      <c r="A84" s="13" t="n"/>
      <c r="B84" s="12" t="inlineStr">
        <is>
          <t>R = does the work (exactly one per row)</t>
        </is>
      </c>
    </row>
    <row r="85">
      <c r="A85" s="11" t="n"/>
      <c r="B85" s="12" t="inlineStr">
        <is>
          <t>A/R = the same person holds both, so the row has no second pair of eyes</t>
        </is>
      </c>
    </row>
    <row r="86">
      <c r="B86" s="12" t="inlineStr">
        <is>
          <t>C = consulted before the decision</t>
        </is>
      </c>
    </row>
    <row r="87">
      <c r="B87" s="12" t="inlineStr">
        <is>
          <t>I = informed after it</t>
        </is>
      </c>
    </row>
    <row r="88">
      <c r="B88" s="12" t="inlineStr">
        <is>
          <t>-&gt; = the open seat that absorbs R on hire. Open seats never hold A or R.</t>
        </is>
      </c>
    </row>
    <row r="90">
      <c r="A90" s="10" t="inlineStr">
        <is>
          <t>Positions</t>
        </is>
      </c>
    </row>
    <row r="91">
      <c r="A91" s="14" t="inlineStr">
        <is>
          <t>Code</t>
        </is>
      </c>
      <c r="B91" s="14" t="inlineStr">
        <is>
          <t>Position</t>
        </is>
      </c>
      <c r="C91" s="14" t="inlineStr">
        <is>
          <t>Holder</t>
        </is>
      </c>
      <c r="D91" s="14" t="inlineStr">
        <is>
          <t>Status</t>
        </is>
      </c>
      <c r="E91" s="14" t="inlineStr">
        <is>
          <t>A count</t>
        </is>
      </c>
      <c r="F91" s="14" t="inlineStr">
        <is>
          <t>R count</t>
        </is>
      </c>
      <c r="G91" s="14" t="inlineStr">
        <is>
          <t>Both</t>
        </is>
      </c>
      <c r="H91" s="14" t="inlineStr">
        <is>
          <t>Hands off</t>
        </is>
      </c>
      <c r="I91" s="14" t="inlineStr">
        <is>
          <t>Absorbs</t>
        </is>
      </c>
    </row>
    <row r="92">
      <c r="A92" s="12" t="inlineStr">
        <is>
          <t>AC</t>
        </is>
      </c>
      <c r="B92" s="12" t="inlineStr">
        <is>
          <t>Owner / Founder</t>
        </is>
      </c>
      <c r="C92" s="12" t="inlineStr">
        <is>
          <t>Ayesha Curry</t>
        </is>
      </c>
      <c r="D92" s="12" t="inlineStr">
        <is>
          <t>filled</t>
        </is>
      </c>
      <c r="E92" s="15" t="n">
        <v>1</v>
      </c>
      <c r="F92" s="15" t="n">
        <v>0</v>
      </c>
      <c r="G92" s="15" t="n">
        <v>0</v>
      </c>
      <c r="H92" s="15" t="n">
        <v>0</v>
      </c>
      <c r="I92" s="15" t="n">
        <v>0</v>
      </c>
    </row>
    <row r="93">
      <c r="A93" s="12" t="inlineStr">
        <is>
          <t>DI</t>
        </is>
      </c>
      <c r="B93" s="12" t="inlineStr">
        <is>
          <t>President</t>
        </is>
      </c>
      <c r="C93" s="12" t="inlineStr">
        <is>
          <t>Danielle Iturbe</t>
        </is>
      </c>
      <c r="D93" s="12" t="inlineStr">
        <is>
          <t>filled</t>
        </is>
      </c>
      <c r="E93" s="15" t="n">
        <v>2</v>
      </c>
      <c r="F93" s="15" t="n">
        <v>0</v>
      </c>
      <c r="G93" s="15" t="n">
        <v>0</v>
      </c>
      <c r="H93" s="15" t="n">
        <v>0</v>
      </c>
      <c r="I93" s="15" t="n">
        <v>0</v>
      </c>
    </row>
    <row r="94">
      <c r="A94" s="12" t="inlineStr">
        <is>
          <t>AB</t>
        </is>
      </c>
      <c r="B94" s="12" t="inlineStr">
        <is>
          <t>VP of Operations</t>
        </is>
      </c>
      <c r="C94" s="12" t="inlineStr">
        <is>
          <t>Alvin Belt</t>
        </is>
      </c>
      <c r="D94" s="12" t="inlineStr">
        <is>
          <t>filled</t>
        </is>
      </c>
      <c r="E94" s="15" t="n">
        <v>40</v>
      </c>
      <c r="F94" s="15" t="n">
        <v>55</v>
      </c>
      <c r="G94" s="15" t="n">
        <v>31</v>
      </c>
      <c r="H94" s="15" t="n">
        <v>29</v>
      </c>
      <c r="I94" s="15" t="n">
        <v>0</v>
      </c>
    </row>
    <row r="95">
      <c r="A95" s="12" t="inlineStr">
        <is>
          <t>NI</t>
        </is>
      </c>
      <c r="B95" s="12" t="inlineStr">
        <is>
          <t>Sr. Director, Consumer Strategy &amp; Operations</t>
        </is>
      </c>
      <c r="C95" s="12" t="inlineStr">
        <is>
          <t>Nicole Iturbe</t>
        </is>
      </c>
      <c r="D95" s="12" t="inlineStr">
        <is>
          <t>filled</t>
        </is>
      </c>
      <c r="E95" s="15" t="n">
        <v>21</v>
      </c>
      <c r="F95" s="15" t="n">
        <v>12</v>
      </c>
      <c r="G95" s="15" t="n">
        <v>6</v>
      </c>
      <c r="H95" s="15" t="n">
        <v>3</v>
      </c>
      <c r="I95" s="15" t="n">
        <v>0</v>
      </c>
    </row>
    <row r="96">
      <c r="A96" s="12" t="inlineStr">
        <is>
          <t>OPS</t>
        </is>
      </c>
      <c r="B96" s="12" t="inlineStr">
        <is>
          <t>Operations Specialist</t>
        </is>
      </c>
      <c r="C96" s="12" t="inlineStr">
        <is>
          <t>Open seat</t>
        </is>
      </c>
      <c r="D96" s="16" t="inlineStr">
        <is>
          <t>recruiting</t>
        </is>
      </c>
      <c r="E96" s="15" t="n">
        <v>0</v>
      </c>
      <c r="F96" s="15" t="n">
        <v>0</v>
      </c>
      <c r="G96" s="15" t="n">
        <v>0</v>
      </c>
      <c r="H96" s="15" t="n">
        <v>0</v>
      </c>
      <c r="I96" s="15" t="n">
        <v>16</v>
      </c>
    </row>
    <row r="97">
      <c r="A97" s="12" t="inlineStr">
        <is>
          <t>PDS</t>
        </is>
      </c>
      <c r="B97" s="12" t="inlineStr">
        <is>
          <t>Product Development Specialist</t>
        </is>
      </c>
      <c r="C97" s="12" t="inlineStr">
        <is>
          <t>Open seat</t>
        </is>
      </c>
      <c r="D97" s="16" t="inlineStr">
        <is>
          <t>phased</t>
        </is>
      </c>
      <c r="E97" s="15" t="n">
        <v>0</v>
      </c>
      <c r="F97" s="15" t="n">
        <v>0</v>
      </c>
      <c r="G97" s="15" t="n">
        <v>0</v>
      </c>
      <c r="H97" s="15" t="n">
        <v>0</v>
      </c>
      <c r="I97" s="15" t="n">
        <v>16</v>
      </c>
    </row>
    <row r="98">
      <c r="A98" s="12" t="inlineStr">
        <is>
          <t>SS</t>
        </is>
      </c>
      <c r="B98" s="12" t="inlineStr">
        <is>
          <t>Marketing Manager</t>
        </is>
      </c>
      <c r="C98" s="12" t="inlineStr">
        <is>
          <t>Soraya Salgadoe</t>
        </is>
      </c>
      <c r="D98" s="12" t="inlineStr">
        <is>
          <t>filled</t>
        </is>
      </c>
      <c r="E98" s="15" t="n">
        <v>1</v>
      </c>
      <c r="F98" s="15" t="n">
        <v>2</v>
      </c>
      <c r="G98" s="15" t="n">
        <v>1</v>
      </c>
      <c r="H98" s="15" t="n">
        <v>0</v>
      </c>
      <c r="I98" s="15" t="n">
        <v>0</v>
      </c>
    </row>
    <row r="99">
      <c r="A99" s="12" t="inlineStr">
        <is>
          <t>KL</t>
        </is>
      </c>
      <c r="B99" s="12" t="inlineStr">
        <is>
          <t>Social Media Coordinator</t>
        </is>
      </c>
      <c r="C99" s="12" t="inlineStr">
        <is>
          <t>Kate Le</t>
        </is>
      </c>
      <c r="D99" s="12" t="inlineStr">
        <is>
          <t>filled</t>
        </is>
      </c>
      <c r="E99" s="15" t="n">
        <v>1</v>
      </c>
      <c r="F99" s="15" t="n">
        <v>1</v>
      </c>
      <c r="G99" s="15" t="n">
        <v>1</v>
      </c>
      <c r="H99" s="15" t="n">
        <v>0</v>
      </c>
      <c r="I99" s="15" t="n">
        <v>0</v>
      </c>
    </row>
    <row r="100">
      <c r="A100" s="12" t="inlineStr">
        <is>
          <t>EH</t>
        </is>
      </c>
      <c r="B100" s="12" t="inlineStr">
        <is>
          <t>Creative Director</t>
        </is>
      </c>
      <c r="C100" s="12" t="inlineStr">
        <is>
          <t>Erin Hover</t>
        </is>
      </c>
      <c r="D100" s="12" t="inlineStr">
        <is>
          <t>filled</t>
        </is>
      </c>
      <c r="E100" s="15" t="n">
        <v>3</v>
      </c>
      <c r="F100" s="15" t="n">
        <v>2</v>
      </c>
      <c r="G100" s="15" t="n">
        <v>1</v>
      </c>
      <c r="H100" s="15" t="n">
        <v>0</v>
      </c>
      <c r="I100" s="15" t="n">
        <v>0</v>
      </c>
    </row>
    <row r="101">
      <c r="A101" s="12" t="inlineStr">
        <is>
          <t>IT</t>
        </is>
      </c>
      <c r="B101" s="12" t="inlineStr">
        <is>
          <t>Creative / Design Coordinator</t>
        </is>
      </c>
      <c r="C101" s="12" t="inlineStr">
        <is>
          <t>Ivy Tan</t>
        </is>
      </c>
      <c r="D101" s="12" t="inlineStr">
        <is>
          <t>filled</t>
        </is>
      </c>
      <c r="E101" s="15" t="n">
        <v>1</v>
      </c>
      <c r="F101" s="15" t="n">
        <v>2</v>
      </c>
      <c r="G101" s="15" t="n">
        <v>1</v>
      </c>
      <c r="H101" s="15" t="n">
        <v>0</v>
      </c>
      <c r="I101" s="15" t="n">
        <v>0</v>
      </c>
    </row>
    <row r="102">
      <c r="A102" s="12" t="inlineStr">
        <is>
          <t>JH</t>
        </is>
      </c>
      <c r="B102" s="12" t="inlineStr">
        <is>
          <t>Packaging Engineer</t>
        </is>
      </c>
      <c r="C102" s="12" t="inlineStr">
        <is>
          <t>Jan Haeck</t>
        </is>
      </c>
      <c r="D102" s="12" t="inlineStr">
        <is>
          <t>contractor</t>
        </is>
      </c>
      <c r="E102" s="15" t="n">
        <v>0</v>
      </c>
      <c r="F102" s="15" t="n">
        <v>2</v>
      </c>
      <c r="G102" s="15" t="n">
        <v>0</v>
      </c>
      <c r="H102" s="15" t="n">
        <v>0</v>
      </c>
      <c r="I102" s="15" t="n">
        <v>0</v>
      </c>
    </row>
    <row r="103">
      <c r="A103" s="12" t="inlineStr">
        <is>
          <t>PC</t>
        </is>
      </c>
      <c r="B103" s="12" t="inlineStr">
        <is>
          <t>PD / R&amp;D contractor, Milinyc</t>
        </is>
      </c>
      <c r="C103" s="12" t="inlineStr">
        <is>
          <t>Perrine Calvet</t>
        </is>
      </c>
      <c r="D103" s="12" t="inlineStr">
        <is>
          <t>contractor</t>
        </is>
      </c>
      <c r="E103" s="15" t="n">
        <v>8</v>
      </c>
      <c r="F103" s="15" t="n">
        <v>2</v>
      </c>
      <c r="G103" s="15" t="n">
        <v>1</v>
      </c>
      <c r="H103" s="15" t="n">
        <v>0</v>
      </c>
      <c r="I103" s="15" t="n">
        <v>0</v>
      </c>
    </row>
    <row r="105">
      <c r="A105" s="14" t="inlineStr">
        <is>
          <t>Source of truth</t>
        </is>
      </c>
      <c r="B105" s="17" t="inlineStr">
        <is>
          <t>Rows citing a path are relative to the SJ-OS repo. Rows citing the 30 July leadership review, the 27 July email to Danielle, or a job description come from those documents directly. Rows marked INFERRED in Notes have no owner named in any source; A defaults to Alvin Belt because the work falls there in practice.</t>
        </is>
      </c>
    </row>
  </sheetData>
  <autoFilter ref="A2:Q8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 Owner / Founder (Ayesha Curry)</t>
        </is>
      </c>
      <c r="B6" s="15">
        <f>COUNTIF(RACI!C3:C80,"A")+COUNTIF(RACI!C3:C80,"A/R")</f>
        <v/>
      </c>
      <c r="C6" s="15">
        <f>COUNTIF(RACI!C3:C80,"R")+COUNTIF(RACI!C3:C80,"A/R")</f>
        <v/>
      </c>
      <c r="D6" s="15">
        <f>COUNTIF(RACI!C3:C80,"A/R")</f>
        <v/>
      </c>
      <c r="E6" s="15" t="n">
        <v>0</v>
      </c>
      <c r="F6" s="15" t="n">
        <v>0</v>
      </c>
      <c r="G6" s="15">
        <f>B6</f>
        <v/>
      </c>
      <c r="H6" s="15">
        <f>C6-E6+F6</f>
        <v/>
      </c>
    </row>
    <row r="7">
      <c r="A7" s="12" t="inlineStr">
        <is>
          <t>DI — President (Danielle Iturbe)</t>
        </is>
      </c>
      <c r="B7" s="15">
        <f>COUNTIF(RACI!D3:D80,"A")+COUNTIF(RACI!D3:D80,"A/R")</f>
        <v/>
      </c>
      <c r="C7" s="15">
        <f>COUNTIF(RACI!D3:D80,"R")+COUNTIF(RACI!D3:D80,"A/R")</f>
        <v/>
      </c>
      <c r="D7" s="15">
        <f>COUNTIF(RACI!D3:D80,"A/R")</f>
        <v/>
      </c>
      <c r="E7" s="15" t="n">
        <v>0</v>
      </c>
      <c r="F7" s="15" t="n">
        <v>0</v>
      </c>
      <c r="G7" s="15">
        <f>B7</f>
        <v/>
      </c>
      <c r="H7" s="15">
        <f>C7-E7+F7</f>
        <v/>
      </c>
    </row>
    <row r="8">
      <c r="A8" s="12" t="inlineStr">
        <is>
          <t>AB — VP of Operations (Alvin Belt)</t>
        </is>
      </c>
      <c r="B8" s="15">
        <f>COUNTIF(RACI!E3:E80,"A")+COUNTIF(RACI!E3:E80,"A/R")</f>
        <v/>
      </c>
      <c r="C8" s="15">
        <f>COUNTIF(RACI!E3:E80,"R")+COUNTIF(RACI!E3:E80,"A/R")</f>
        <v/>
      </c>
      <c r="D8" s="15">
        <f>COUNTIF(RACI!E3:E80,"A/R")</f>
        <v/>
      </c>
      <c r="E8" s="15" t="n">
        <v>29</v>
      </c>
      <c r="F8" s="15" t="n">
        <v>0</v>
      </c>
      <c r="G8" s="15">
        <f>B8</f>
        <v/>
      </c>
      <c r="H8" s="15">
        <f>C8-E8+F8</f>
        <v/>
      </c>
    </row>
    <row r="9">
      <c r="A9" s="12" t="inlineStr">
        <is>
          <t>NI — Sr. Director, Consumer Strategy &amp; Operations (Nicole Iturbe)</t>
        </is>
      </c>
      <c r="B9" s="15">
        <f>COUNTIF(RACI!F3:F80,"A")+COUNTIF(RACI!F3:F80,"A/R")</f>
        <v/>
      </c>
      <c r="C9" s="15">
        <f>COUNTIF(RACI!F3:F80,"R")+COUNTIF(RACI!F3:F80,"A/R")</f>
        <v/>
      </c>
      <c r="D9" s="15">
        <f>COUNTIF(RACI!F3:F80,"A/R")</f>
        <v/>
      </c>
      <c r="E9" s="15" t="n">
        <v>3</v>
      </c>
      <c r="F9" s="15" t="n">
        <v>0</v>
      </c>
      <c r="G9" s="15">
        <f>B9</f>
        <v/>
      </c>
      <c r="H9" s="15">
        <f>C9-E9+F9</f>
        <v/>
      </c>
    </row>
    <row r="10">
      <c r="A10" s="12" t="inlineStr">
        <is>
          <t>OPS — Operations Specialist (Open seat)</t>
        </is>
      </c>
      <c r="B10" s="15">
        <f>COUNTIF(RACI!G3:G80,"A")+COUNTIF(RACI!G3:G80,"A/R")</f>
        <v/>
      </c>
      <c r="C10" s="15">
        <f>COUNTIF(RACI!G3:G80,"R")+COUNTIF(RACI!G3:G80,"A/R")</f>
        <v/>
      </c>
      <c r="D10" s="15">
        <f>COUNTIF(RACI!G3:G80,"A/R")</f>
        <v/>
      </c>
      <c r="E10" s="15" t="n">
        <v>0</v>
      </c>
      <c r="F10" s="15" t="n">
        <v>16</v>
      </c>
      <c r="G10" s="15">
        <f>B10</f>
        <v/>
      </c>
      <c r="H10" s="15">
        <f>C10-E10+F10</f>
        <v/>
      </c>
    </row>
    <row r="11">
      <c r="A11" s="12" t="inlineStr">
        <is>
          <t>PDS — Product Development Specialist (Open seat)</t>
        </is>
      </c>
      <c r="B11" s="15">
        <f>COUNTIF(RACI!H3:H80,"A")+COUNTIF(RACI!H3:H80,"A/R")</f>
        <v/>
      </c>
      <c r="C11" s="15">
        <f>COUNTIF(RACI!H3:H80,"R")+COUNTIF(RACI!H3:H80,"A/R")</f>
        <v/>
      </c>
      <c r="D11" s="15">
        <f>COUNTIF(RACI!H3:H80,"A/R")</f>
        <v/>
      </c>
      <c r="E11" s="15" t="n">
        <v>0</v>
      </c>
      <c r="F11" s="15" t="n">
        <v>16</v>
      </c>
      <c r="G11" s="15">
        <f>B11</f>
        <v/>
      </c>
      <c r="H11" s="15">
        <f>C11-E11+F11</f>
        <v/>
      </c>
    </row>
    <row r="12">
      <c r="A12" s="12" t="inlineStr">
        <is>
          <t>SS — Marketing Manager (Soraya Salgadoe)</t>
        </is>
      </c>
      <c r="B12" s="15">
        <f>COUNTIF(RACI!I3:I80,"A")+COUNTIF(RACI!I3:I80,"A/R")</f>
        <v/>
      </c>
      <c r="C12" s="15">
        <f>COUNTIF(RACI!I3:I80,"R")+COUNTIF(RACI!I3:I80,"A/R")</f>
        <v/>
      </c>
      <c r="D12" s="15">
        <f>COUNTIF(RACI!I3:I80,"A/R")</f>
        <v/>
      </c>
      <c r="E12" s="15" t="n">
        <v>0</v>
      </c>
      <c r="F12" s="15" t="n">
        <v>0</v>
      </c>
      <c r="G12" s="15">
        <f>B12</f>
        <v/>
      </c>
      <c r="H12" s="15">
        <f>C12-E12+F12</f>
        <v/>
      </c>
    </row>
    <row r="13">
      <c r="A13" s="12" t="inlineStr">
        <is>
          <t>KL — Social Media Coordinator (Kate Le)</t>
        </is>
      </c>
      <c r="B13" s="15">
        <f>COUNTIF(RACI!J3:J80,"A")+COUNTIF(RACI!J3:J80,"A/R")</f>
        <v/>
      </c>
      <c r="C13" s="15">
        <f>COUNTIF(RACI!J3:J80,"R")+COUNTIF(RACI!J3:J80,"A/R")</f>
        <v/>
      </c>
      <c r="D13" s="15">
        <f>COUNTIF(RACI!J3:J80,"A/R")</f>
        <v/>
      </c>
      <c r="E13" s="15" t="n">
        <v>0</v>
      </c>
      <c r="F13" s="15" t="n">
        <v>0</v>
      </c>
      <c r="G13" s="15">
        <f>B13</f>
        <v/>
      </c>
      <c r="H13" s="15">
        <f>C13-E13+F13</f>
        <v/>
      </c>
    </row>
    <row r="14">
      <c r="A14" s="12" t="inlineStr">
        <is>
          <t>EH — Creative Director (Erin Hover)</t>
        </is>
      </c>
      <c r="B14" s="15">
        <f>COUNTIF(RACI!K3:K80,"A")+COUNTIF(RACI!K3:K80,"A/R")</f>
        <v/>
      </c>
      <c r="C14" s="15">
        <f>COUNTIF(RACI!K3:K80,"R")+COUNTIF(RACI!K3:K80,"A/R")</f>
        <v/>
      </c>
      <c r="D14" s="15">
        <f>COUNTIF(RACI!K3:K80,"A/R")</f>
        <v/>
      </c>
      <c r="E14" s="15" t="n">
        <v>0</v>
      </c>
      <c r="F14" s="15" t="n">
        <v>0</v>
      </c>
      <c r="G14" s="15">
        <f>B14</f>
        <v/>
      </c>
      <c r="H14" s="15">
        <f>C14-E14+F14</f>
        <v/>
      </c>
    </row>
    <row r="15">
      <c r="A15" s="12" t="inlineStr">
        <is>
          <t>IT — Creative / Design Coordinator (Ivy Tan)</t>
        </is>
      </c>
      <c r="B15" s="15">
        <f>COUNTIF(RACI!L3:L80,"A")+COUNTIF(RACI!L3:L80,"A/R")</f>
        <v/>
      </c>
      <c r="C15" s="15">
        <f>COUNTIF(RACI!L3:L80,"R")+COUNTIF(RACI!L3:L80,"A/R")</f>
        <v/>
      </c>
      <c r="D15" s="15">
        <f>COUNTIF(RACI!L3:L80,"A/R")</f>
        <v/>
      </c>
      <c r="E15" s="15" t="n">
        <v>0</v>
      </c>
      <c r="F15" s="15" t="n">
        <v>0</v>
      </c>
      <c r="G15" s="15">
        <f>B15</f>
        <v/>
      </c>
      <c r="H15" s="15">
        <f>C15-E15+F15</f>
        <v/>
      </c>
    </row>
    <row r="16">
      <c r="A16" s="12" t="inlineStr">
        <is>
          <t>JH — Packaging Engineer (Jan Haeck)</t>
        </is>
      </c>
      <c r="B16" s="15">
        <f>COUNTIF(RACI!M3:M80,"A")+COUNTIF(RACI!M3:M80,"A/R")</f>
        <v/>
      </c>
      <c r="C16" s="15">
        <f>COUNTIF(RACI!M3:M80,"R")+COUNTIF(RACI!M3:M80,"A/R")</f>
        <v/>
      </c>
      <c r="D16" s="15">
        <f>COUNTIF(RACI!M3:M80,"A/R")</f>
        <v/>
      </c>
      <c r="E16" s="15" t="n">
        <v>0</v>
      </c>
      <c r="F16" s="15" t="n">
        <v>0</v>
      </c>
      <c r="G16" s="15">
        <f>B16</f>
        <v/>
      </c>
      <c r="H16" s="15">
        <f>C16-E16+F16</f>
        <v/>
      </c>
    </row>
    <row r="17">
      <c r="A17" s="12" t="inlineStr">
        <is>
          <t>PC — PD / R&amp;D contractor, Milinyc (Perrine Calvet)</t>
        </is>
      </c>
      <c r="B17" s="15">
        <f>COUNTIF(RACI!N3:N80,"A")+COUNTIF(RACI!N3:N80,"A/R")</f>
        <v/>
      </c>
      <c r="C17" s="15">
        <f>COUNTIF(RACI!N3:N80,"R")+COUNTIF(RACI!N3:N80,"A/R")</f>
        <v/>
      </c>
      <c r="D17" s="15">
        <f>COUNTIF(RACI!N3:N80,"A/R")</f>
        <v/>
      </c>
      <c r="E17" s="15" t="n">
        <v>0</v>
      </c>
      <c r="F17" s="15" t="n">
        <v>0</v>
      </c>
      <c r="G17" s="15">
        <f>B17</f>
        <v/>
      </c>
      <c r="H17" s="15">
        <f>C17-E17+F17</f>
        <v/>
      </c>
    </row>
    <row r="18">
      <c r="A18" s="14" t="inlineStr">
        <is>
          <t>Total activities</t>
        </is>
      </c>
      <c r="B18" s="21">
        <f>COUNTA(RACI!B3:B80)</f>
        <v/>
      </c>
    </row>
    <row r="19">
      <c r="A19" t="inlineStr"/>
    </row>
    <row r="20">
      <c r="A20" s="22" t="inlineStr">
        <is>
          <t>"A after" and "R after" project the book once both specialist seats are filled. Hands off counts rows where this position does the work today and an incoming seat takes it. Absorbs counts rows arriving on hire.</t>
        </is>
      </c>
    </row>
    <row r="21">
      <c r="A21" t="inlineStr"/>
    </row>
    <row r="22" ht="15" customHeight="1">
      <c r="A22" s="23" t="inlineStr">
        <is>
          <t>Quality now has a gate, and it is not the VP</t>
        </is>
      </c>
    </row>
    <row r="23">
      <c r="A23" t="inlineStr"/>
    </row>
    <row r="24" ht="78" customHeight="1">
      <c r="A24"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25">
      <c r="A25" t="inlineStr"/>
    </row>
    <row r="26" ht="15" customHeight="1">
      <c r="A26" s="23" t="inlineStr">
        <is>
          <t>Perrine moves to technical guidance</t>
        </is>
      </c>
    </row>
    <row r="27">
      <c r="A27" t="inlineStr"/>
    </row>
    <row r="28" ht="104" customHeight="1">
      <c r="A28" s="17" t="inlineStr">
        <is>
          <t>She keeps A on the 8 rows where the judgment is genuinely technical - formula stage-gate, compatibility and stability and RIPT and PET, packaging development, in-market stability testing, reformulation, PD-linked receipt, and the two margin rows that turn on formulation cost.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29">
      <c r="A29" t="inlineStr"/>
    </row>
    <row r="30" ht="15" customHeight="1">
      <c r="A30" s="23" t="inlineStr">
        <is>
          <t>Alvin owns the framework, and still does most of the work</t>
        </is>
      </c>
    </row>
    <row r="31">
      <c r="A31" t="inlineStr"/>
    </row>
    <row r="32" ht="65" customHeight="1">
      <c r="A32" s="17" t="inlineStr">
        <is>
          <t>Accountable for 40 of 78 activities and doing the work on 55.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33">
      <c r="A33" t="inlineStr"/>
    </row>
    <row r="34" ht="15" customHeight="1">
      <c r="A34" s="23" t="inlineStr">
        <is>
          <t>What the two seats actually move</t>
        </is>
      </c>
    </row>
    <row r="35">
      <c r="A35" t="inlineStr"/>
    </row>
    <row r="36" ht="65" customHeight="1">
      <c r="A36"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37">
      <c r="A37" t="inlineStr"/>
    </row>
    <row r="38" ht="15" customHeight="1">
      <c r="A38" s="23" t="inlineStr">
        <is>
          <t>Ops first is the right order, and the matrix says why</t>
        </is>
      </c>
    </row>
    <row r="39">
      <c r="A39" t="inlineStr"/>
    </row>
    <row r="40" ht="91" customHeight="1">
      <c r="A40"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41">
      <c r="A41" t="inlineStr"/>
    </row>
    <row r="42" ht="15" customHeight="1">
      <c r="A42" s="23" t="inlineStr">
        <is>
          <t>The PD seat is the one that closes the quality loop</t>
        </is>
      </c>
    </row>
    <row r="43">
      <c r="A43" t="inlineStr"/>
    </row>
    <row r="44" ht="104" customHeight="1">
      <c r="A44"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45">
      <c r="A45" t="inlineStr"/>
    </row>
    <row r="46" ht="15" customHeight="1">
      <c r="A46" s="23" t="inlineStr">
        <is>
          <t>What is still unowned</t>
        </is>
      </c>
    </row>
    <row r="47">
      <c r="A47" t="inlineStr"/>
    </row>
    <row r="48" ht="65" customHeight="1">
      <c r="A48" s="17" t="inlineStr">
        <is>
          <t>Three rows have no documented owner anywhere and default to Alvin as an inference rather than a sourced claim: accounts payable and bookkeeping and payroll, employee onboarding and offboarding and access deprovisioning, and Shopify revenue ownership. Finance appears in the operating documentation only as an email-sender category and a briefing heading. The function closest to the top line is the least specified.</t>
        </is>
      </c>
    </row>
    <row r="49">
      <c r="A49" t="inlineStr"/>
    </row>
    <row r="50" ht="15" customHeight="1">
      <c r="A50" s="23" t="inlineStr">
        <is>
          <t>Single points of failure that remain after both hires</t>
        </is>
      </c>
    </row>
    <row r="51">
      <c r="A51" t="inlineStr"/>
    </row>
    <row r="52" ht="91" customHeight="1">
      <c r="A52"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53">
      <c r="A5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Unowned function</t>
        </is>
      </c>
      <c r="B4" s="6" t="inlineStr">
        <is>
          <t>Finance</t>
        </is>
      </c>
      <c r="C4" s="6" t="inlineStr">
        <is>
          <t>Accounts payable, bookkeeping and payroll have no owner, approver or gate anywhere.</t>
        </is>
      </c>
      <c r="D4" s="6" t="inlineStr">
        <is>
          <t>Spend is captured through vendor invoices behind five approval gates, but nothing downstream of it is owned. The cost ledger has a custodian; the books do not.</t>
        </is>
      </c>
      <c r="E4" s="6" t="inlineStr">
        <is>
          <t>Fractional controller or bookkeeper; Alvin approves</t>
        </is>
      </c>
      <c r="F4" s="7" t="n">
        <v>20</v>
      </c>
      <c r="G4" s="6" t="inlineStr">
        <is>
          <t>outlook-plm-bridge/SKILL.md:368; ayesha-weekly-briefing/SKILL.md:9</t>
        </is>
      </c>
    </row>
    <row r="5">
      <c r="A5" s="25" t="inlineStr">
        <is>
          <t>Unowned function</t>
        </is>
      </c>
      <c r="B5" s="6" t="inlineStr">
        <is>
          <t>People &amp; Admin</t>
        </is>
      </c>
      <c r="C5" s="6" t="inlineStr">
        <is>
          <t>Employee onboarding, offboarding and access deprovisioning has no named owner.</t>
        </is>
      </c>
      <c r="D5" s="6" t="inlineStr">
        <is>
          <t>The only documented process is a departed-role-holder checklist written after a stale role record broke task assignment. Reactive, and not owned.</t>
        </is>
      </c>
      <c r="E5" s="6" t="inlineStr">
        <is>
          <t>Operations Specialist once hired; Alvin interim</t>
        </is>
      </c>
      <c r="F5" s="7" t="n">
        <v>6</v>
      </c>
      <c r="G5" s="6" t="inlineStr">
        <is>
          <t>asana-pd-manager/references/role-map.md:48-56</t>
        </is>
      </c>
    </row>
    <row r="6">
      <c r="A6" s="25" t="inlineStr">
        <is>
          <t>Unowned function</t>
        </is>
      </c>
      <c r="B6" s="6" t="inlineStr">
        <is>
          <t>Ecommerce &amp; DTC</t>
        </is>
      </c>
      <c r="C6" s="6" t="inlineStr">
        <is>
          <t>Shopify revenue and channel position has no owner or gate.</t>
        </is>
      </c>
      <c r="D6" s="6" t="inlineStr">
        <is>
          <t>Registered as the revenue connection and named as the primary direct-to-consumer revenue track, but no process assigns ownership. The function closest to the top line is the least specified.</t>
        </is>
      </c>
      <c r="E6" s="6" t="inlineStr">
        <is>
          <t>Nicole on channel, Alvin on data - needs a decision</t>
        </is>
      </c>
      <c r="F6" s="7" t="n">
        <v>8</v>
      </c>
      <c r="G6" s="6" t="inlineStr">
        <is>
          <t>connections.md:7; context/about-business.md:5</t>
        </is>
      </c>
    </row>
    <row r="7">
      <c r="A7" s="25" t="inlineStr">
        <is>
          <t>Single point of failure</t>
        </is>
      </c>
      <c r="B7" s="6" t="inlineStr">
        <is>
          <t>Product Development</t>
        </is>
      </c>
      <c r="C7" s="6" t="inlineStr">
        <is>
          <t>Compatibility, stability, RIPT and PET decisions sit with an external contractor as both A and R.</t>
        </is>
      </c>
      <c r="D7" s="6" t="inlineStr">
        <is>
          <t>No internal counterpart can check the work or continue it. Pre-launch technical decisions have no second reader.</t>
        </is>
      </c>
      <c r="E7" s="6" t="inlineStr">
        <is>
          <t>PD Specialist as internal counterpart on hire</t>
        </is>
      </c>
      <c r="F7" s="7" t="n">
        <v>0</v>
      </c>
      <c r="G7" s="6" t="inlineStr">
        <is>
          <t>asana-pd-manager/references/role-map.md:16</t>
        </is>
      </c>
    </row>
    <row r="8">
      <c r="A8" s="25" t="inlineStr">
        <is>
          <t>Single point of failure</t>
        </is>
      </c>
      <c r="B8" s="6" t="inlineStr">
        <is>
          <t>Quality</t>
        </is>
      </c>
      <c r="C8" s="6" t="inlineStr">
        <is>
          <t>Perrine holds A on 8 technical rows as a contractor, with no named backup.</t>
        </is>
      </c>
      <c r="D8" s="6" t="inlineStr">
        <is>
          <t>Reduced from 11 by moving process gates to Nicole, which is real progress. What remains is genuinely technical and genuinely single-threaded.</t>
        </is>
      </c>
      <c r="E8" s="6" t="inlineStr">
        <is>
          <t>Name a backup technical reviewer</t>
        </is>
      </c>
      <c r="F8" s="7" t="n">
        <v>0</v>
      </c>
      <c r="G8" s="6" t="inlineStr">
        <is>
          <t>Leadership Business Review 2026-07-30 25:18-25:50; quality-manager/references/role-map.md:14</t>
        </is>
      </c>
    </row>
    <row r="9">
      <c r="A9" s="25" t="inlineStr">
        <is>
          <t>Single point of failure</t>
        </is>
      </c>
      <c r="B9" s="6" t="inlineStr">
        <is>
          <t>Regulatory &amp; Compliance</t>
        </is>
      </c>
      <c r="C9" s="6" t="inlineStr">
        <is>
          <t>Operator and Reg Lead are the same person, so two gates designed to be independent fire against one approver.</t>
        </is>
      </c>
      <c r="D9" s="6" t="inlineStr">
        <is>
          <t>On ingredient-list packets, retailer attestations and FDA filings the second approval adds an audit entry but no second judgment. The 15-day reporting clock has no alternate.</t>
        </is>
      </c>
      <c r="E9" s="6" t="inlineStr">
        <is>
          <t>Split Reg Lead, or route the second gate to Pedrero</t>
        </is>
      </c>
      <c r="F9" s="7" t="n">
        <v>0</v>
      </c>
      <c r="G9" s="6" t="inlineStr">
        <is>
          <t>regulatory-manager/references/role-map.md:14; adverse-event-and-recall-reporter/SKILL.md:108</t>
        </is>
      </c>
    </row>
    <row r="10">
      <c r="A10" s="25" t="inlineStr">
        <is>
          <t>Single point of failure</t>
        </is>
      </c>
      <c r="B10" s="6" t="inlineStr">
        <is>
          <t>IT / Systems &amp; Data</t>
        </is>
      </c>
      <c r="C10" s="6" t="inlineStr">
        <is>
          <t>All 23 scheduled Routines stop at a human approval only Alvin can clear.</t>
        </is>
      </c>
      <c r="D10" s="6" t="inlineStr">
        <is>
          <t>Automation that fires unattended still needs him to commit. A week away queues the work rather than pausing it, and the Routines keep firing.</t>
        </is>
      </c>
      <c r="E10" s="6" t="inlineStr">
        <is>
          <t>Delegate publish gates to the new specialists</t>
        </is>
      </c>
      <c r="F10" s="7" t="n">
        <v>0</v>
      </c>
      <c r="G10" s="6" t="inlineStr">
        <is>
          <t>scheduled-prompts/weekly-pd-update.md:91</t>
        </is>
      </c>
    </row>
    <row r="11">
      <c r="A11" s="25" t="inlineStr">
        <is>
          <t>Single point of failure</t>
        </is>
      </c>
      <c r="B11" s="6" t="inlineStr">
        <is>
          <t>All functions</t>
        </is>
      </c>
      <c r="C11" s="6" t="inlineStr">
        <is>
          <t>Succession is documented once in the whole system - Soraya as interim CI lead if Nicole is out.</t>
        </is>
      </c>
      <c r="D11" s="6" t="inlineStr">
        <is>
          <t>Nothing comparable exists for the quality gate, the technical advisor, the Reg Lead or Creative. The repo's stated purpose is succession.</t>
        </is>
      </c>
      <c r="E11" s="6" t="inlineStr">
        <is>
          <t>Alvin to write per-role backups into each role-map</t>
        </is>
      </c>
      <c r="F11" s="7" t="n">
        <v>4</v>
      </c>
      <c r="G11" s="6" t="inlineStr">
        <is>
          <t>sjs-comp-intel/references/team-ownership.md:95; decisions/log.md:41</t>
        </is>
      </c>
    </row>
    <row r="12">
      <c r="A12" s="25" t="inlineStr">
        <is>
          <t>Open item</t>
        </is>
      </c>
      <c r="B12" s="6" t="inlineStr">
        <is>
          <t>Quality</t>
        </is>
      </c>
      <c r="C12" s="6" t="inlineStr">
        <is>
          <t>Quality management system and monthly trend review not yet stood up. Target end of Q3.</t>
        </is>
      </c>
      <c r="D12" s="6" t="inlineStr">
        <is>
          <t>The gate is assigned but the reporting cadence behind it is not built. Without trend data a recurring issue like the pump defect cannot drive a packaging decision.</t>
        </is>
      </c>
      <c r="E12" s="6" t="inlineStr">
        <is>
          <t>Alvin owns framework, Nicole runs it</t>
        </is>
      </c>
      <c r="F12" s="7" t="n">
        <v>12</v>
      </c>
      <c r="G12" s="6" t="inlineStr">
        <is>
          <t>Leadership Business Review 2026-07-30 26:02-26:17</t>
        </is>
      </c>
    </row>
    <row r="13">
      <c r="A13" s="25" t="inlineStr">
        <is>
          <t>Open item</t>
        </is>
      </c>
      <c r="B13" s="6" t="inlineStr">
        <is>
          <t>Operations &amp; Supply Chain</t>
        </is>
      </c>
      <c r="C13" s="6" t="inlineStr">
        <is>
          <t>22 tasks from the retired coordinator seat sit unassigned in an archived holding project; 4 overdue.</t>
        </is>
      </c>
      <c r="D13" s="6" t="inlineStr">
        <is>
          <t>An unassigned task drops out of every per-person sweep and goes stale silently. Concrete cost of running the interim split for a quarter.</t>
        </is>
      </c>
      <c r="E13" s="6" t="inlineStr">
        <is>
          <t>Alvin to reassign under the interim split</t>
        </is>
      </c>
      <c r="F13" s="7" t="n">
        <v>3</v>
      </c>
      <c r="G13" s="6" t="inlineStr">
        <is>
          <t>decisions/log.md:60</t>
        </is>
      </c>
    </row>
    <row r="14">
      <c r="A14" s="25" t="inlineStr">
        <is>
          <t>Open item</t>
        </is>
      </c>
      <c r="B14" s="6" t="inlineStr">
        <is>
          <t>People &amp; Admin</t>
        </is>
      </c>
      <c r="C14" s="6" t="inlineStr">
        <is>
          <t>SOP cleanup and operational prep before onboarding is not done.</t>
        </is>
      </c>
      <c r="D14" s="6" t="inlineStr">
        <is>
          <t>Danielle's stated condition on the hire: clean up the system first so the role can function. Onboarding into the current state recreates the too-broad seat.</t>
        </is>
      </c>
      <c r="E14" s="6" t="inlineStr">
        <is>
          <t>Alvin and Nicole, before the Ops seat starts</t>
        </is>
      </c>
      <c r="F14" s="7" t="n">
        <v>16</v>
      </c>
      <c r="G14" s="6" t="inlineStr">
        <is>
          <t>Leadership Business Review 2026-07-30 54:24-55:43, 1:00:32</t>
        </is>
      </c>
    </row>
    <row r="15">
      <c r="A15" s="25" t="inlineStr">
        <is>
          <t>Open item</t>
        </is>
      </c>
      <c r="B15" s="6" t="inlineStr">
        <is>
          <t>IT / Systems &amp; Data</t>
        </is>
      </c>
      <c r="C15" s="6" t="inlineStr">
        <is>
          <t>Wiki write-back has not fired since 2026-05-26. 123 of 133 pages are untouched seed content.</t>
        </is>
      </c>
      <c r="D15" s="6" t="inlineStr">
        <is>
          <t>The bridges' runtime lexicon reads stale seed data, degrading vendor, contact and product recognition on every sweep.</t>
        </is>
      </c>
      <c r="E15" s="6" t="inlineStr">
        <is>
          <t>Alvin; part of the skills-architecture backlog</t>
        </is>
      </c>
      <c r="F15" s="7" t="n">
        <v>8</v>
      </c>
      <c r="G15" s="6" t="inlineStr">
        <is>
          <t>decisions/wiki-layer-audit-2026-07-29.md:52; decisions/log.md:75</t>
        </is>
      </c>
    </row>
    <row r="16">
      <c r="A16" s="25" t="inlineStr">
        <is>
          <t>Open item</t>
        </is>
      </c>
      <c r="B16" s="6" t="inlineStr">
        <is>
          <t>Quality</t>
        </is>
      </c>
      <c r="C16" s="6" t="inlineStr">
        <is>
          <t>Nine SOPs and forms are 29 days overdue on annual review.</t>
        </is>
      </c>
      <c r="D16" s="6" t="inlineStr">
        <is>
          <t>Review dates were null so the annual sweep had nothing to fire on. Dates are restored; the reviews are not done, and each needs sign-off.</t>
        </is>
      </c>
      <c r="E16" s="6" t="inlineStr">
        <is>
          <t>Nicole approves as the quality gate; Alvin stages</t>
        </is>
      </c>
      <c r="F16" s="7" t="n">
        <v>12</v>
      </c>
      <c r="G16" s="6" t="inlineStr">
        <is>
          <t>decisions/log.md:69</t>
        </is>
      </c>
    </row>
    <row r="17">
      <c r="A17" s="25" t="inlineStr">
        <is>
          <t>Uncovered brand</t>
        </is>
      </c>
      <c r="B17" s="6" t="inlineStr">
        <is>
          <t>All functions</t>
        </is>
      </c>
      <c r="C17" s="6" t="inlineStr">
        <is>
          <t>Sweet July, the lifestyle brand, has no coverage. The suite is Sweet July Skin plus company-wide work.</t>
        </is>
      </c>
      <c r="D17" s="6" t="inlineStr">
        <is>
          <t>Merch, licensing and non-skincare retail are run somewhere, but nothing documents who owns them. They cannot be put on a RACI from these sources.</t>
        </is>
      </c>
      <c r="E17" s="6" t="inlineStr">
        <is>
          <t>Danielle to confirm scope for the next version</t>
        </is>
      </c>
      <c r="F17" s="7" t="n">
        <v>0</v>
      </c>
      <c r="G17" s="6" t="inlineStr">
        <is>
          <t>references/architecture/system_map.md:3; context/about-business.md:3</t>
        </is>
      </c>
    </row>
    <row r="19">
      <c r="A19" s="14" t="inlineStr">
        <is>
          <t>Hours per month</t>
        </is>
      </c>
      <c r="C19" s="17" t="inlineStr">
        <is>
          <t>Rough estimates. Open-seat rows are full-time-equivalent load, not incremental. Zero means the gap is a structural exposure rather than unbilled hours.</t>
        </is>
      </c>
    </row>
  </sheetData>
  <autoFilter ref="A1:G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2026-07-31T05:54:32Z</dcterms:created>
  <dcterms:modified xsi:type="dcterms:W3CDTF">2026-07-31T05:54:32Z</dcterms:modified>
</cp:coreProperties>
</file>