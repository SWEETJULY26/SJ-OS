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'RACI'!$A$2:$T$88</definedName>
    <definedName name="_xlnm._FilterDatabase" localSheetId="2" hidden="1">'Gaps'!$A$1:$G$20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1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26" customWidth="1" min="18" max="18"/>
    <col width="58" customWidth="1" min="19" max="19"/>
    <col width="82" customWidth="1" min="20" max="20"/>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1" t="inlineStr">
        <is>
          <t>Transitions to</t>
        </is>
      </c>
      <c r="S1" s="1" t="inlineStr">
        <is>
          <t>Source</t>
        </is>
      </c>
      <c r="T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c r="S2" s="3" t="inlineStr"/>
      <c r="T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c r="J3" s="7" t="inlineStr"/>
      <c r="K3" s="7" t="inlineStr"/>
      <c r="L3" s="7" t="inlineStr"/>
      <c r="M3" s="7" t="inlineStr"/>
      <c r="N3" s="9" t="inlineStr">
        <is>
          <t>A</t>
        </is>
      </c>
      <c r="O3" s="7" t="inlineStr"/>
      <c r="P3" s="7" t="inlineStr"/>
      <c r="Q3" s="7" t="inlineStr"/>
      <c r="R3" s="6" t="inlineStr">
        <is>
          <t>Product Development Specialist</t>
        </is>
      </c>
      <c r="S3" s="6" t="inlineStr">
        <is>
          <t>.claude/skills/asana-pd-manager/references/role-map.md:16; .claude/skills/asana-pd-manager/SKILL.md:60</t>
        </is>
      </c>
      <c r="T3" s="6" t="inlineStr">
        <is>
          <t>PD Lead holds technical sign-off on formula stage moves. Operator confirms every move (Rule 1 preview); reversals get a stronger intent check.</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c r="J4" s="7" t="inlineStr"/>
      <c r="K4" s="7" t="inlineStr"/>
      <c r="L4" s="7" t="inlineStr"/>
      <c r="M4" s="7" t="inlineStr"/>
      <c r="N4" s="9" t="inlineStr">
        <is>
          <t>A/R</t>
        </is>
      </c>
      <c r="O4" s="7" t="inlineStr"/>
      <c r="P4" s="7" t="inlineStr"/>
      <c r="Q4" s="7" t="inlineStr"/>
      <c r="R4" s="6" t="inlineStr"/>
      <c r="S4" s="6" t="inlineStr">
        <is>
          <t>.claude/skills/asana-pd-manager/references/role-map.md:16</t>
        </is>
      </c>
      <c r="T4" s="6" t="inlineStr">
        <is>
          <t>PD Lead owns the technical call outright. A and R the same person, and PC is an external contractor.</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c r="J5" s="7" t="inlineStr"/>
      <c r="K5" s="9" t="inlineStr">
        <is>
          <t>A</t>
        </is>
      </c>
      <c r="L5" s="7" t="inlineStr">
        <is>
          <t>C</t>
        </is>
      </c>
      <c r="M5" s="8" t="inlineStr">
        <is>
          <t>R</t>
        </is>
      </c>
      <c r="N5" s="7" t="inlineStr">
        <is>
          <t>C</t>
        </is>
      </c>
      <c r="O5" s="7" t="inlineStr"/>
      <c r="P5" s="7" t="inlineStr"/>
      <c r="Q5" s="7" t="inlineStr"/>
      <c r="R5" s="6" t="inlineStr"/>
      <c r="S5" s="6" t="inlineStr">
        <is>
          <t>.claude/skills/asana-pd-manager/references/role-map.md:16,23; Alvin, 2026-07-31 (role correction)</t>
        </is>
      </c>
      <c r="T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c r="J6" s="7" t="inlineStr"/>
      <c r="K6" s="7" t="inlineStr"/>
      <c r="L6" s="7" t="inlineStr"/>
      <c r="M6" s="7" t="inlineStr"/>
      <c r="N6" s="7" t="inlineStr">
        <is>
          <t>C</t>
        </is>
      </c>
      <c r="O6" s="7" t="inlineStr"/>
      <c r="P6" s="7" t="inlineStr"/>
      <c r="Q6" s="7" t="inlineStr"/>
      <c r="R6" s="6" t="inlineStr"/>
      <c r="S6" s="6" t="inlineStr">
        <is>
          <t>.claude/skills/asana-pd-manager/references/role-map.md:17,18</t>
        </is>
      </c>
      <c r="T6" s="6" t="inlineStr">
        <is>
          <t>President approves. PD Consult is final-line approver alongside the President.</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c r="J7" s="7" t="inlineStr"/>
      <c r="K7" s="7" t="inlineStr"/>
      <c r="L7" s="7" t="inlineStr"/>
      <c r="M7" s="7" t="inlineStr"/>
      <c r="N7" s="7" t="inlineStr"/>
      <c r="O7" s="7" t="inlineStr"/>
      <c r="P7" s="7" t="inlineStr"/>
      <c r="Q7" s="7" t="inlineStr"/>
      <c r="R7" s="6" t="inlineStr"/>
      <c r="S7" s="6" t="inlineStr">
        <is>
          <t>.claude/skills/asana-pd-manager/references/role-map.md:19</t>
        </is>
      </c>
      <c r="T7" s="6" t="inlineStr">
        <is>
          <t>Founder gate. Ayesha receives weekly PD signal through the Friday briefing.</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c r="J8" s="7" t="inlineStr"/>
      <c r="K8" s="7" t="inlineStr"/>
      <c r="L8" s="7" t="inlineStr"/>
      <c r="M8" s="7" t="inlineStr"/>
      <c r="N8" s="7" t="inlineStr">
        <is>
          <t>C</t>
        </is>
      </c>
      <c r="O8" s="7" t="inlineStr"/>
      <c r="P8" s="7" t="inlineStr"/>
      <c r="Q8" s="7" t="inlineStr"/>
      <c r="R8" s="6" t="inlineStr">
        <is>
          <t>Product Development Specialist</t>
        </is>
      </c>
      <c r="S8" s="6" t="inlineStr">
        <is>
          <t>.claude/skills/fireflies-asana-bridge/SKILL.md:287; .claude/skills/outlook-plm-bridge/SKILL.md:191; .claude/skills/sjs-status-reporter/SKILL.md:331,385</t>
        </is>
      </c>
      <c r="T8" s="6" t="inlineStr">
        <is>
          <t>Alvin is the named approver on Flow D formula-approval decisions and classifies every meeting item. Covers the three PD hub dashboards. A and R both AB.</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c r="J9" s="7" t="inlineStr"/>
      <c r="K9" s="7" t="inlineStr"/>
      <c r="L9" s="7" t="inlineStr"/>
      <c r="M9" s="7" t="inlineStr"/>
      <c r="N9" s="9" t="inlineStr">
        <is>
          <t>A</t>
        </is>
      </c>
      <c r="O9" s="7" t="inlineStr"/>
      <c r="P9" s="7" t="inlineStr"/>
      <c r="Q9" s="7" t="inlineStr"/>
      <c r="R9" s="6" t="inlineStr"/>
      <c r="S9" s="6" t="inlineStr">
        <is>
          <t>.claude/skills/asana-pd-manager/references/role-map.md:16; .claude/skills/capa-coordinator/SKILL.md:85</t>
        </is>
      </c>
      <c r="T9" s="6" t="inlineStr">
        <is>
          <t>PD Lead is cross-flagged for any PD-side reformulation. Reformulation handoff rides the root-cause approval - no separate gate.</t>
        </is>
      </c>
    </row>
    <row r="10">
      <c r="A10" s="5" t="inlineStr">
        <is>
          <t>Product Development</t>
        </is>
      </c>
      <c r="B10" s="6" t="inlineStr">
        <is>
          <t>Document control: specifications, dielines, artwork versions, BOMs, landed-cost integrity</t>
        </is>
      </c>
      <c r="C10" s="7" t="inlineStr"/>
      <c r="D10" s="7" t="inlineStr"/>
      <c r="E10" s="8" t="inlineStr">
        <is>
          <t>R</t>
        </is>
      </c>
      <c r="F10" s="9" t="inlineStr">
        <is>
          <t>A</t>
        </is>
      </c>
      <c r="G10" s="7" t="inlineStr"/>
      <c r="H10" s="7" t="inlineStr">
        <is>
          <t>-&gt;</t>
        </is>
      </c>
      <c r="I10" s="7" t="inlineStr"/>
      <c r="J10" s="7" t="inlineStr"/>
      <c r="K10" s="7" t="inlineStr">
        <is>
          <t>C</t>
        </is>
      </c>
      <c r="L10" s="7" t="inlineStr"/>
      <c r="M10" s="7" t="inlineStr">
        <is>
          <t>C</t>
        </is>
      </c>
      <c r="N10" s="7" t="inlineStr">
        <is>
          <t>C</t>
        </is>
      </c>
      <c r="O10" s="7" t="inlineStr"/>
      <c r="P10" s="7" t="inlineStr"/>
      <c r="Q10" s="7" t="inlineStr"/>
      <c r="R10" s="6" t="inlineStr">
        <is>
          <t>Product Development Specialist</t>
        </is>
      </c>
      <c r="S10" s="6" t="inlineStr">
        <is>
          <t>SharePoint: Sweet July Skin - Product Development Specialist - Job Description.docx</t>
        </is>
      </c>
      <c r="T10" s="6" t="inlineStr">
        <is>
          <t>Documentation quality is Nicole's gate. The PD Specialist JD names document control as a core responsibility, so this row transitions on hire.</t>
        </is>
      </c>
    </row>
    <row r="11">
      <c r="A11" s="5" t="inlineStr">
        <is>
          <t>Operations &amp; Supply Chain</t>
        </is>
      </c>
      <c r="B11" s="6" t="inlineStr">
        <is>
          <t>Vendor master data, onboarding (NDA + W9 gate), sourcing and performance scorecards</t>
        </is>
      </c>
      <c r="C11" s="7" t="inlineStr"/>
      <c r="D11" s="7" t="inlineStr"/>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6" t="inlineStr">
        <is>
          <t>Operations Specialist</t>
        </is>
      </c>
      <c r="S11" s="6" t="inlineStr">
        <is>
          <t>.claude/skills/purchasing-manager/SKILL.md:42,46,75,154,158</t>
        </is>
      </c>
      <c r="T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c r="G12" s="7" t="inlineStr">
        <is>
          <t>-&gt;</t>
        </is>
      </c>
      <c r="H12" s="7" t="inlineStr"/>
      <c r="I12" s="7" t="inlineStr"/>
      <c r="J12" s="7" t="inlineStr"/>
      <c r="K12" s="7" t="inlineStr"/>
      <c r="L12" s="7" t="inlineStr"/>
      <c r="M12" s="7" t="inlineStr"/>
      <c r="N12" s="7" t="inlineStr">
        <is>
          <t>C</t>
        </is>
      </c>
      <c r="O12" s="7" t="inlineStr"/>
      <c r="P12" s="7" t="inlineStr"/>
      <c r="Q12" s="7" t="inlineStr"/>
      <c r="R12" s="6" t="inlineStr">
        <is>
          <t>Operations Specialist</t>
        </is>
      </c>
      <c r="S12" s="6" t="inlineStr">
        <is>
          <t>.claude/skills/purchasing-manager/SKILL.md:108,116,140,248</t>
        </is>
      </c>
      <c r="T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c r="H13" s="7" t="inlineStr"/>
      <c r="I13" s="7" t="inlineStr"/>
      <c r="J13" s="7" t="inlineStr"/>
      <c r="K13" s="7" t="inlineStr"/>
      <c r="L13" s="7" t="inlineStr"/>
      <c r="M13" s="7" t="inlineStr"/>
      <c r="N13" s="9" t="inlineStr">
        <is>
          <t>A</t>
        </is>
      </c>
      <c r="O13" s="7" t="inlineStr"/>
      <c r="P13" s="7" t="inlineStr"/>
      <c r="Q13" s="7" t="inlineStr"/>
      <c r="R13" s="6" t="inlineStr"/>
      <c r="S13" s="6" t="inlineStr">
        <is>
          <t>.claude/skills/purchasing-manager/SKILL.md:130</t>
        </is>
      </c>
      <c r="T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6" t="inlineStr">
        <is>
          <t>Operations Specialist</t>
        </is>
      </c>
      <c r="S14" s="6" t="inlineStr">
        <is>
          <t>.claude/skills/inventory-manager/SKILL.md:68</t>
        </is>
      </c>
      <c r="T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c r="I15" s="7" t="inlineStr">
        <is>
          <t>C</t>
        </is>
      </c>
      <c r="J15" s="7" t="inlineStr"/>
      <c r="K15" s="7" t="inlineStr"/>
      <c r="L15" s="7" t="inlineStr"/>
      <c r="M15" s="7" t="inlineStr"/>
      <c r="N15" s="7" t="inlineStr"/>
      <c r="O15" s="7" t="inlineStr"/>
      <c r="P15" s="7" t="inlineStr">
        <is>
          <t>C</t>
        </is>
      </c>
      <c r="Q15" s="7" t="inlineStr"/>
      <c r="R15" s="6" t="inlineStr">
        <is>
          <t>Operations Specialist</t>
        </is>
      </c>
      <c r="S15" s="6" t="inlineStr">
        <is>
          <t>.claude/skills/purchasing-manager/SKILL.md:234,235,238; Alvin, 2026-07-31 (external partners)</t>
        </is>
      </c>
      <c r="T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I</t>
        </is>
      </c>
      <c r="G16" s="7" t="inlineStr">
        <is>
          <t>-&gt;</t>
        </is>
      </c>
      <c r="H16" s="7" t="inlineStr"/>
      <c r="I16" s="7" t="inlineStr"/>
      <c r="J16" s="7" t="inlineStr"/>
      <c r="K16" s="7" t="inlineStr"/>
      <c r="L16" s="7" t="inlineStr"/>
      <c r="M16" s="7" t="inlineStr"/>
      <c r="N16" s="7" t="inlineStr">
        <is>
          <t>C</t>
        </is>
      </c>
      <c r="O16" s="7" t="inlineStr"/>
      <c r="P16" s="7" t="inlineStr"/>
      <c r="Q16" s="7" t="inlineStr"/>
      <c r="R16" s="6" t="inlineStr">
        <is>
          <t>Operations Specialist</t>
        </is>
      </c>
      <c r="S16" s="6" t="inlineStr">
        <is>
          <t>.claude/skills/inventory-manager/SKILL.md:18,52,60</t>
        </is>
      </c>
      <c r="T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c r="G17" s="7" t="inlineStr">
        <is>
          <t>-&gt;</t>
        </is>
      </c>
      <c r="H17" s="7" t="inlineStr"/>
      <c r="I17" s="7" t="inlineStr"/>
      <c r="J17" s="7" t="inlineStr"/>
      <c r="K17" s="7" t="inlineStr"/>
      <c r="L17" s="7" t="inlineStr"/>
      <c r="M17" s="7" t="inlineStr"/>
      <c r="N17" s="7" t="inlineStr">
        <is>
          <t>C</t>
        </is>
      </c>
      <c r="O17" s="7" t="inlineStr"/>
      <c r="P17" s="7" t="inlineStr"/>
      <c r="Q17" s="7" t="inlineStr"/>
      <c r="R17" s="6" t="inlineStr">
        <is>
          <t>Operations Specialist</t>
        </is>
      </c>
      <c r="S17" s="6" t="inlineStr">
        <is>
          <t>.claude/skills/inventory-manager/SKILL.md:94</t>
        </is>
      </c>
      <c r="T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c r="I18" s="7" t="inlineStr"/>
      <c r="J18" s="7" t="inlineStr"/>
      <c r="K18" s="7" t="inlineStr"/>
      <c r="L18" s="7" t="inlineStr"/>
      <c r="M18" s="7" t="inlineStr"/>
      <c r="N18" s="7" t="inlineStr"/>
      <c r="O18" s="7" t="inlineStr"/>
      <c r="P18" s="7" t="inlineStr"/>
      <c r="Q18" s="7" t="inlineStr"/>
      <c r="R18" s="6" t="inlineStr">
        <is>
          <t>Operations Specialist</t>
        </is>
      </c>
      <c r="S18" s="6" t="inlineStr">
        <is>
          <t>.claude/skills/supply-demand-planner/SKILL.md:30-52; .claude/skills/supply-demand-planner/references/plm-schema-additions.md:139</t>
        </is>
      </c>
      <c r="T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c r="G19" s="7" t="inlineStr">
        <is>
          <t>-&gt;</t>
        </is>
      </c>
      <c r="H19" s="7" t="inlineStr"/>
      <c r="I19" s="7" t="inlineStr"/>
      <c r="J19" s="7" t="inlineStr"/>
      <c r="K19" s="7" t="inlineStr"/>
      <c r="L19" s="7" t="inlineStr"/>
      <c r="M19" s="7" t="inlineStr"/>
      <c r="N19" s="7" t="inlineStr">
        <is>
          <t>I</t>
        </is>
      </c>
      <c r="O19" s="7" t="inlineStr"/>
      <c r="P19" s="7" t="inlineStr"/>
      <c r="Q19" s="7" t="inlineStr"/>
      <c r="R19" s="6" t="inlineStr">
        <is>
          <t>Operations Specialist</t>
        </is>
      </c>
      <c r="S19" s="6" t="inlineStr">
        <is>
          <t>.claude/skills/logistics-manager/SKILL.md:59,186; .claude/skills/logistics-manager/forms/international-dtc-shipment.md:11</t>
        </is>
      </c>
      <c r="T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6" t="inlineStr">
        <is>
          <t>Operations Specialist</t>
        </is>
      </c>
      <c r="S20" s="6" t="inlineStr">
        <is>
          <t>.claude/skills/ayesha-weekly-briefing/SKILL.md:123; .claude/skills/oc3pl-order-manager/SKILL.md:109,191</t>
        </is>
      </c>
      <c r="T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c r="D21" s="7" t="inlineStr"/>
      <c r="E21" s="8" t="inlineStr">
        <is>
          <t>R</t>
        </is>
      </c>
      <c r="F21" s="9" t="inlineStr">
        <is>
          <t>A</t>
        </is>
      </c>
      <c r="G21" s="7" t="inlineStr">
        <is>
          <t>-&gt;</t>
        </is>
      </c>
      <c r="H21" s="7" t="inlineStr"/>
      <c r="I21" s="7" t="inlineStr"/>
      <c r="J21" s="7" t="inlineStr"/>
      <c r="K21" s="7" t="inlineStr"/>
      <c r="L21" s="7" t="inlineStr"/>
      <c r="M21" s="7" t="inlineStr"/>
      <c r="N21" s="7" t="inlineStr"/>
      <c r="O21" s="7" t="inlineStr"/>
      <c r="P21" s="7" t="inlineStr"/>
      <c r="Q21" s="7" t="inlineStr"/>
      <c r="R21" s="6" t="inlineStr">
        <is>
          <t>Operations Specialist</t>
        </is>
      </c>
      <c r="S21" s="6" t="inlineStr">
        <is>
          <t>.claude/skills/oc3pl-order-manager/SKILL.md:201; .claude/skills/ayesha-weekly-briefing/SKILL.md:123</t>
        </is>
      </c>
      <c r="T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6" t="inlineStr">
        <is>
          <t>Operations Specialist</t>
        </is>
      </c>
      <c r="S22" s="6" t="inlineStr">
        <is>
          <t>.claude/skills/logistics-manager/SKILL.md:80; .claude/skills/purchasing-manager/SKILL.md:55</t>
        </is>
      </c>
      <c r="T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c r="E23" s="9" t="inlineStr">
        <is>
          <t>A/R</t>
        </is>
      </c>
      <c r="F23" s="7" t="inlineStr">
        <is>
          <t>C</t>
        </is>
      </c>
      <c r="G23" s="7" t="inlineStr">
        <is>
          <t>-&gt;</t>
        </is>
      </c>
      <c r="H23" s="7" t="inlineStr"/>
      <c r="I23" s="7" t="inlineStr"/>
      <c r="J23" s="7" t="inlineStr"/>
      <c r="K23" s="7" t="inlineStr"/>
      <c r="L23" s="7" t="inlineStr"/>
      <c r="M23" s="7" t="inlineStr"/>
      <c r="N23" s="7" t="inlineStr">
        <is>
          <t>C</t>
        </is>
      </c>
      <c r="O23" s="7" t="inlineStr"/>
      <c r="P23" s="7" t="inlineStr"/>
      <c r="Q23" s="7" t="inlineStr"/>
      <c r="R23" s="6" t="inlineStr">
        <is>
          <t>Operations Specialist</t>
        </is>
      </c>
      <c r="S23" s="6" t="inlineStr">
        <is>
          <t>SharePoint: Sweet July Skin - Operations Specialist - Job Description.docx; Leadership Business Review 2026-07-30 35:18</t>
        </is>
      </c>
      <c r="T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c r="D24" s="7" t="inlineStr"/>
      <c r="E24" s="8" t="inlineStr">
        <is>
          <t>R</t>
        </is>
      </c>
      <c r="F24" s="9" t="inlineStr">
        <is>
          <t>A</t>
        </is>
      </c>
      <c r="G24" s="7" t="inlineStr"/>
      <c r="H24" s="7" t="inlineStr">
        <is>
          <t>-&gt;</t>
        </is>
      </c>
      <c r="I24" s="7" t="inlineStr"/>
      <c r="J24" s="7" t="inlineStr"/>
      <c r="K24" s="7" t="inlineStr"/>
      <c r="L24" s="7" t="inlineStr"/>
      <c r="M24" s="7" t="inlineStr"/>
      <c r="N24" s="7" t="inlineStr">
        <is>
          <t>C</t>
        </is>
      </c>
      <c r="O24" s="7" t="inlineStr"/>
      <c r="P24" s="7" t="inlineStr"/>
      <c r="Q24" s="7" t="inlineStr"/>
      <c r="R24" s="6" t="inlineStr">
        <is>
          <t>Product Development Specialist</t>
        </is>
      </c>
      <c r="S24" s="6" t="inlineStr">
        <is>
          <t>.claude/skills/complaint-and-event-handler/SKILL.md:20,53</t>
        </is>
      </c>
      <c r="T24" s="6" t="inlineStr">
        <is>
          <t>HITL on every write. Operator approves classification plus first response. A and R both AB. Gate moved to Nicole as the final quality check per Leadership Business Review 2026-07-30 25:18-26:01.</t>
        </is>
      </c>
    </row>
    <row r="25">
      <c r="A25" s="5" t="inlineStr">
        <is>
          <t>Quality</t>
        </is>
      </c>
      <c r="B25" s="6" t="inlineStr">
        <is>
          <t>Complaint trend analysis by SKU and batch</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7" t="inlineStr"/>
      <c r="P25" s="7" t="inlineStr"/>
      <c r="Q25" s="7" t="inlineStr"/>
      <c r="R25" s="6" t="inlineStr">
        <is>
          <t>Product Development Specialist</t>
        </is>
      </c>
      <c r="S25" s="6" t="inlineStr">
        <is>
          <t>.claude/skills/quality-manager/references/role-map.md:15</t>
        </is>
      </c>
      <c r="T25" s="6" t="inlineStr">
        <is>
          <t>Voice of Customer holds gates on complaint classification and complaint-driven escalations. Nicole already held this gate; monthly trend review formalizes it per Leadership Business Review 2026-07-30 26:02-26:17.</t>
        </is>
      </c>
    </row>
    <row r="26">
      <c r="A26" s="5" t="inlineStr">
        <is>
          <t>Quality</t>
        </is>
      </c>
      <c r="B26" s="6" t="inlineStr">
        <is>
          <t>NCR and CAPA lifecycle, intake through close (SKN-OPS-001)</t>
        </is>
      </c>
      <c r="C26" s="7" t="inlineStr"/>
      <c r="D26" s="7" t="inlineStr">
        <is>
          <t>I</t>
        </is>
      </c>
      <c r="E26" s="8" t="inlineStr">
        <is>
          <t>R</t>
        </is>
      </c>
      <c r="F26" s="9" t="inlineStr">
        <is>
          <t>A</t>
        </is>
      </c>
      <c r="G26" s="7" t="inlineStr"/>
      <c r="H26" s="7" t="inlineStr">
        <is>
          <t>-&gt;</t>
        </is>
      </c>
      <c r="I26" s="7" t="inlineStr"/>
      <c r="J26" s="7" t="inlineStr"/>
      <c r="K26" s="7" t="inlineStr"/>
      <c r="L26" s="7" t="inlineStr"/>
      <c r="M26" s="7" t="inlineStr"/>
      <c r="N26" s="7" t="inlineStr">
        <is>
          <t>C</t>
        </is>
      </c>
      <c r="O26" s="7" t="inlineStr"/>
      <c r="P26" s="7" t="inlineStr"/>
      <c r="Q26" s="7" t="inlineStr"/>
      <c r="R26" s="6" t="inlineStr">
        <is>
          <t>Product Development Specialist</t>
        </is>
      </c>
      <c r="S26" s="6" t="inlineStr">
        <is>
          <t>.claude/skills/capa-coordinator/SKILL.md:54,136; .claude/skills/capa-coordinator/references/ncr-procedure.md:135; .claude/skills/capa-coordinator/references/skn-ops-001.md:64,102</t>
        </is>
      </c>
      <c r="T26"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7">
      <c r="A27" s="5" t="inlineStr">
        <is>
          <t>Quality</t>
        </is>
      </c>
      <c r="B27" s="6" t="inlineStr">
        <is>
          <t>Lab finding intake and OOS / OOT classification (SKN-OPS-006)</t>
        </is>
      </c>
      <c r="C27" s="7" t="inlineStr"/>
      <c r="D27" s="7" t="inlineStr"/>
      <c r="E27" s="8" t="inlineStr">
        <is>
          <t>R</t>
        </is>
      </c>
      <c r="F27" s="9" t="inlineStr">
        <is>
          <t>A</t>
        </is>
      </c>
      <c r="G27" s="7" t="inlineStr"/>
      <c r="H27" s="7" t="inlineStr">
        <is>
          <t>-&gt;</t>
        </is>
      </c>
      <c r="I27" s="7" t="inlineStr"/>
      <c r="J27" s="7" t="inlineStr"/>
      <c r="K27" s="7" t="inlineStr"/>
      <c r="L27" s="7" t="inlineStr"/>
      <c r="M27" s="7" t="inlineStr"/>
      <c r="N27" s="7" t="inlineStr">
        <is>
          <t>C</t>
        </is>
      </c>
      <c r="O27" s="7" t="inlineStr"/>
      <c r="P27" s="7" t="inlineStr"/>
      <c r="Q27" s="7" t="inlineStr"/>
      <c r="R27" s="6" t="inlineStr">
        <is>
          <t>Product Development Specialist</t>
        </is>
      </c>
      <c r="S27" s="6" t="inlineStr">
        <is>
          <t>.claude/skills/quality-lab-coordinator/SKILL.md:48,56</t>
        </is>
      </c>
      <c r="T27" s="6" t="inlineStr">
        <is>
          <t>Operator approves intake and the single-versus-systemic classification. A and R both AB.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c r="E28" s="8" t="inlineStr">
        <is>
          <t>R</t>
        </is>
      </c>
      <c r="F28" s="9" t="inlineStr">
        <is>
          <t>A</t>
        </is>
      </c>
      <c r="G28" s="7" t="inlineStr"/>
      <c r="H28" s="7" t="inlineStr">
        <is>
          <t>-&gt;</t>
        </is>
      </c>
      <c r="I28" s="7" t="inlineStr"/>
      <c r="J28" s="7" t="inlineStr"/>
      <c r="K28" s="7" t="inlineStr"/>
      <c r="L28" s="7" t="inlineStr"/>
      <c r="M28" s="7" t="inlineStr"/>
      <c r="N28" s="7" t="inlineStr">
        <is>
          <t>C</t>
        </is>
      </c>
      <c r="O28" s="7" t="inlineStr"/>
      <c r="P28" s="7" t="inlineStr"/>
      <c r="Q28" s="7" t="inlineStr"/>
      <c r="R28" s="6" t="inlineStr">
        <is>
          <t>Product Development Specialist</t>
        </is>
      </c>
      <c r="S28" s="6" t="inlineStr">
        <is>
          <t>.claude/skills/quality-lab-coordinator/SKILL.md:76; .claude/skills/quality-lab-coordinator/references/vendor-scorecard-signal.md:103</t>
        </is>
      </c>
      <c r="T28" s="6" t="inlineStr">
        <is>
          <t>QA Lead approves any vendor flag and the scorecard band. Operator can stage but not commit. A moved from Perrine to Nicole per Leadership Business Review 2026-07-30 25:18-25:50. Perrine consults.</t>
        </is>
      </c>
    </row>
    <row r="29">
      <c r="A29" s="5" t="inlineStr">
        <is>
          <t>Quality</t>
        </is>
      </c>
      <c r="B29" s="6" t="inlineStr">
        <is>
          <t>Batch hold and release (SKN-OPS-007)</t>
        </is>
      </c>
      <c r="C29" s="7" t="inlineStr"/>
      <c r="D29" s="7" t="inlineStr">
        <is>
          <t>I</t>
        </is>
      </c>
      <c r="E29" s="8" t="inlineStr">
        <is>
          <t>R</t>
        </is>
      </c>
      <c r="F29" s="9" t="inlineStr">
        <is>
          <t>A</t>
        </is>
      </c>
      <c r="G29" s="7" t="inlineStr"/>
      <c r="H29" s="7" t="inlineStr">
        <is>
          <t>-&gt;</t>
        </is>
      </c>
      <c r="I29" s="7" t="inlineStr"/>
      <c r="J29" s="7" t="inlineStr"/>
      <c r="K29" s="7" t="inlineStr"/>
      <c r="L29" s="7" t="inlineStr"/>
      <c r="M29" s="7" t="inlineStr"/>
      <c r="N29" s="7" t="inlineStr">
        <is>
          <t>C</t>
        </is>
      </c>
      <c r="O29" s="7" t="inlineStr"/>
      <c r="P29" s="7" t="inlineStr"/>
      <c r="Q29" s="7" t="inlineStr"/>
      <c r="R29" s="6" t="inlineStr">
        <is>
          <t>Product Development Specialist</t>
        </is>
      </c>
      <c r="S29" s="6" t="inlineStr">
        <is>
          <t>.claude/skills/batch-lifecycle-tracker/references/batch-lifecycle-procedure.md:208; .claude/skills/batch-lifecycle-tracker/SKILL.md:86</t>
        </is>
      </c>
      <c r="T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c r="E30" s="8" t="inlineStr">
        <is>
          <t>R</t>
        </is>
      </c>
      <c r="F30" s="7" t="inlineStr">
        <is>
          <t>C</t>
        </is>
      </c>
      <c r="G30" s="7" t="inlineStr"/>
      <c r="H30" s="7" t="inlineStr">
        <is>
          <t>-&gt;</t>
        </is>
      </c>
      <c r="I30" s="7" t="inlineStr"/>
      <c r="J30" s="7" t="inlineStr"/>
      <c r="K30" s="7" t="inlineStr"/>
      <c r="L30" s="7" t="inlineStr"/>
      <c r="M30" s="7" t="inlineStr"/>
      <c r="N30" s="9" t="inlineStr">
        <is>
          <t>A</t>
        </is>
      </c>
      <c r="O30" s="7" t="inlineStr"/>
      <c r="P30" s="7" t="inlineStr"/>
      <c r="Q30" s="7" t="inlineStr"/>
      <c r="R30" s="6" t="inlineStr">
        <is>
          <t>Product Development Specialist</t>
        </is>
      </c>
      <c r="S30" s="6" t="inlineStr">
        <is>
          <t>.claude/skills/batch-lifecycle-tracker/SKILL.md:71,94</t>
        </is>
      </c>
      <c r="T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c r="E31" s="8" t="inlineStr">
        <is>
          <t>R</t>
        </is>
      </c>
      <c r="F31" s="9" t="inlineStr">
        <is>
          <t>A</t>
        </is>
      </c>
      <c r="G31" s="7" t="inlineStr"/>
      <c r="H31" s="7" t="inlineStr">
        <is>
          <t>-&gt;</t>
        </is>
      </c>
      <c r="I31" s="7" t="inlineStr"/>
      <c r="J31" s="7" t="inlineStr"/>
      <c r="K31" s="7" t="inlineStr"/>
      <c r="L31" s="7" t="inlineStr"/>
      <c r="M31" s="7" t="inlineStr"/>
      <c r="N31" s="7" t="inlineStr">
        <is>
          <t>C</t>
        </is>
      </c>
      <c r="O31" s="7" t="inlineStr"/>
      <c r="P31" s="7" t="inlineStr"/>
      <c r="Q31" s="7" t="inlineStr"/>
      <c r="R31" s="6" t="inlineStr">
        <is>
          <t>Product Development Specialist</t>
        </is>
      </c>
      <c r="S31" s="6" t="inlineStr">
        <is>
          <t>.claude/skills/batch-lifecycle-tracker/SKILL.md:71,94</t>
        </is>
      </c>
      <c r="T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c r="H32" s="7" t="inlineStr"/>
      <c r="I32" s="7" t="inlineStr"/>
      <c r="J32" s="7" t="inlineStr"/>
      <c r="K32" s="7" t="inlineStr"/>
      <c r="L32" s="7" t="inlineStr"/>
      <c r="M32" s="7" t="inlineStr"/>
      <c r="N32" s="7" t="inlineStr">
        <is>
          <t>C</t>
        </is>
      </c>
      <c r="O32" s="7" t="inlineStr">
        <is>
          <t>C</t>
        </is>
      </c>
      <c r="P32" s="7" t="inlineStr"/>
      <c r="Q32" s="7" t="inlineStr"/>
      <c r="R32" s="6" t="inlineStr"/>
      <c r="S32" s="6" t="inlineStr">
        <is>
          <t>.claude/skills/complaint-and-event-handler/SKILL.md:85,89,95; .claude/skills/regulatory-manager/references/pedrero-contacts.md:9,13,21</t>
        </is>
      </c>
      <c r="T32" s="6" t="inlineStr">
        <is>
          <t>The strictest gate in the suite: explicit approval at every step, §4.A through §4.F each a separate gate. Operator decides severity, team and whether external reporting is needed. A and R both AB. Stays with Alvin as Reg Lead —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c r="E33" s="8" t="inlineStr">
        <is>
          <t>R</t>
        </is>
      </c>
      <c r="F33" s="9" t="inlineStr">
        <is>
          <t>A</t>
        </is>
      </c>
      <c r="G33" s="7" t="inlineStr"/>
      <c r="H33" s="7" t="inlineStr"/>
      <c r="I33" s="7" t="inlineStr"/>
      <c r="J33" s="7" t="inlineStr"/>
      <c r="K33" s="7" t="inlineStr"/>
      <c r="L33" s="7" t="inlineStr"/>
      <c r="M33" s="7" t="inlineStr"/>
      <c r="N33" s="7" t="inlineStr">
        <is>
          <t>C</t>
        </is>
      </c>
      <c r="O33" s="7" t="inlineStr"/>
      <c r="P33" s="7" t="inlineStr"/>
      <c r="Q33" s="7" t="inlineStr"/>
      <c r="R33" s="6" t="inlineStr"/>
      <c r="S33" s="6" t="inlineStr">
        <is>
          <t>.claude/skills/quality-manager/SKILL.md:66,135; .claude/skills/quality-manager/references/sop-catalog.md:120; .claude/skills/quality-manager/references/qos-thresholds.md:52</t>
        </is>
      </c>
      <c r="T33" s="6" t="inlineStr">
        <is>
          <t>QA Lead approves every ratification, review outcome, cross-cutting task and QoS threshold task. SOP §7 names a QA Manager for this; that seat is vacant and Perrine is filling it. Gate moved to Nicole per Leadership Business Review 2026-07-30 25:18-25:50.</t>
        </is>
      </c>
    </row>
    <row r="34">
      <c r="A34" s="5" t="inlineStr">
        <is>
          <t>Quality</t>
        </is>
      </c>
      <c r="B34" s="6" t="inlineStr">
        <is>
          <t>Quality dashboard publish to the landing hub</t>
        </is>
      </c>
      <c r="C34" s="7" t="inlineStr"/>
      <c r="D34" s="7" t="inlineStr"/>
      <c r="E34" s="8" t="inlineStr">
        <is>
          <t>R</t>
        </is>
      </c>
      <c r="F34" s="9" t="inlineStr">
        <is>
          <t>A</t>
        </is>
      </c>
      <c r="G34" s="7" t="inlineStr"/>
      <c r="H34" s="7" t="inlineStr">
        <is>
          <t>-&gt;</t>
        </is>
      </c>
      <c r="I34" s="7" t="inlineStr"/>
      <c r="J34" s="7" t="inlineStr"/>
      <c r="K34" s="7" t="inlineStr"/>
      <c r="L34" s="7" t="inlineStr"/>
      <c r="M34" s="7" t="inlineStr"/>
      <c r="N34" s="7" t="inlineStr">
        <is>
          <t>C</t>
        </is>
      </c>
      <c r="O34" s="7" t="inlineStr"/>
      <c r="P34" s="7" t="inlineStr"/>
      <c r="Q34" s="7" t="inlineStr"/>
      <c r="R34" s="6" t="inlineStr">
        <is>
          <t>Product Development Specialist</t>
        </is>
      </c>
      <c r="S34" s="6" t="inlineStr">
        <is>
          <t>.claude/skills/quality-status-reporter/SKILL.md:78</t>
        </is>
      </c>
      <c r="T34" s="6" t="inlineStr">
        <is>
          <t>Operator approves the commit before push. Never commit without confirmation. A and R both AB. Nicole gates the content; Alvin retains the publish mechanics. Per Leadership Business Review 2026-07-30 26:02-26:17.</t>
        </is>
      </c>
    </row>
    <row r="35">
      <c r="A35" s="5" t="inlineStr">
        <is>
          <t>Quality</t>
        </is>
      </c>
      <c r="B35" s="6" t="inlineStr">
        <is>
          <t>Final quality check on product and documentation across every function</t>
        </is>
      </c>
      <c r="C35" s="7" t="inlineStr">
        <is>
          <t>I</t>
        </is>
      </c>
      <c r="D35" s="7" t="inlineStr">
        <is>
          <t>I</t>
        </is>
      </c>
      <c r="E35" s="7" t="inlineStr">
        <is>
          <t>C</t>
        </is>
      </c>
      <c r="F35" s="9" t="inlineStr">
        <is>
          <t>A/R</t>
        </is>
      </c>
      <c r="G35" s="7" t="inlineStr"/>
      <c r="H35" s="7" t="inlineStr"/>
      <c r="I35" s="7" t="inlineStr">
        <is>
          <t>C</t>
        </is>
      </c>
      <c r="J35" s="7" t="inlineStr"/>
      <c r="K35" s="7" t="inlineStr">
        <is>
          <t>C</t>
        </is>
      </c>
      <c r="L35" s="7" t="inlineStr"/>
      <c r="M35" s="7" t="inlineStr"/>
      <c r="N35" s="7" t="inlineStr">
        <is>
          <t>C</t>
        </is>
      </c>
      <c r="O35" s="7" t="inlineStr"/>
      <c r="P35" s="7" t="inlineStr"/>
      <c r="Q35" s="7" t="inlineStr"/>
      <c r="R35" s="6" t="inlineStr"/>
      <c r="S35" s="6" t="inlineStr">
        <is>
          <t>Leadership Business Review 2026-07-30 25:35-26:01</t>
        </is>
      </c>
      <c r="T35"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36">
      <c r="A36" s="5" t="inlineStr">
        <is>
          <t>Quality</t>
        </is>
      </c>
      <c r="B36" s="6" t="inlineStr">
        <is>
          <t>Quality management system framework and monthly quality-trend review</t>
        </is>
      </c>
      <c r="C36" s="7" t="inlineStr"/>
      <c r="D36" s="7" t="inlineStr">
        <is>
          <t>I</t>
        </is>
      </c>
      <c r="E36" s="9" t="inlineStr">
        <is>
          <t>A</t>
        </is>
      </c>
      <c r="F36" s="8" t="inlineStr">
        <is>
          <t>R</t>
        </is>
      </c>
      <c r="G36" s="7" t="inlineStr"/>
      <c r="H36" s="7" t="inlineStr"/>
      <c r="I36" s="7" t="inlineStr"/>
      <c r="J36" s="7" t="inlineStr"/>
      <c r="K36" s="7" t="inlineStr"/>
      <c r="L36" s="7" t="inlineStr"/>
      <c r="M36" s="7" t="inlineStr"/>
      <c r="N36" s="7" t="inlineStr">
        <is>
          <t>C</t>
        </is>
      </c>
      <c r="O36" s="7" t="inlineStr"/>
      <c r="P36" s="7" t="inlineStr"/>
      <c r="Q36" s="7" t="inlineStr"/>
      <c r="R36" s="6" t="inlineStr"/>
      <c r="S36" s="6" t="inlineStr">
        <is>
          <t>Leadership Business Review 2026-07-30 25:18-26:17</t>
        </is>
      </c>
      <c r="T36" s="6" t="inlineStr">
        <is>
          <t>Alvin owns the overall framework; Nicole runs it. Monthly trend review so recurring issues (the pump issue was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c r="E37" s="9" t="inlineStr">
        <is>
          <t>A/R</t>
        </is>
      </c>
      <c r="F37" s="7" t="inlineStr">
        <is>
          <t>I</t>
        </is>
      </c>
      <c r="G37" s="7" t="inlineStr"/>
      <c r="H37" s="7" t="inlineStr">
        <is>
          <t>-&gt;</t>
        </is>
      </c>
      <c r="I37" s="7" t="inlineStr"/>
      <c r="J37" s="7" t="inlineStr"/>
      <c r="K37" s="7" t="inlineStr"/>
      <c r="L37" s="7" t="inlineStr"/>
      <c r="M37" s="7" t="inlineStr"/>
      <c r="N37" s="7" t="inlineStr">
        <is>
          <t>C</t>
        </is>
      </c>
      <c r="O37" s="7" t="inlineStr">
        <is>
          <t>C</t>
        </is>
      </c>
      <c r="P37" s="7" t="inlineStr"/>
      <c r="Q37" s="7" t="inlineStr"/>
      <c r="R37" s="6" t="inlineStr">
        <is>
          <t>Product Development Specialist</t>
        </is>
      </c>
      <c r="S37" s="6" t="inlineStr">
        <is>
          <t>.claude/skills/claims-il-and-label-keeper/SKILL.md:50; .claude/skills/claims-il-and-label-keeper/references/il-claims-label-procedure.md:62; .claude/skills/regulatory-manager/references/pedrero-contacts.md:9,13,21</t>
        </is>
      </c>
      <c r="T37" s="6" t="inlineStr">
        <is>
          <t>Operator approves intake. Reg Lead is the same person at v6.6, so the gate fires twice against one person. Pedrero holds the binding external call. A and R both AB. Pedrero Regulatory holds the binding external review; consult-only internally, with no Asana access and no internal authority, so the Reg Lead gate stays in-house.</t>
        </is>
      </c>
    </row>
    <row r="38">
      <c r="A38" s="5" t="inlineStr">
        <is>
          <t>Regulatory &amp; Compliance</t>
        </is>
      </c>
      <c r="B38" s="6" t="inlineStr">
        <is>
          <t>Pedrero engagement and send approval</t>
        </is>
      </c>
      <c r="C38" s="7" t="inlineStr"/>
      <c r="D38" s="7" t="inlineStr"/>
      <c r="E38" s="9" t="inlineStr">
        <is>
          <t>A/R</t>
        </is>
      </c>
      <c r="F38" s="7" t="inlineStr"/>
      <c r="G38" s="7" t="inlineStr"/>
      <c r="H38" s="7" t="inlineStr"/>
      <c r="I38" s="7" t="inlineStr"/>
      <c r="J38" s="7" t="inlineStr"/>
      <c r="K38" s="7" t="inlineStr"/>
      <c r="L38" s="7" t="inlineStr"/>
      <c r="M38" s="7" t="inlineStr"/>
      <c r="N38" s="7" t="inlineStr">
        <is>
          <t>C</t>
        </is>
      </c>
      <c r="O38" s="7" t="inlineStr">
        <is>
          <t>C</t>
        </is>
      </c>
      <c r="P38" s="7" t="inlineStr"/>
      <c r="Q38" s="7" t="inlineStr"/>
      <c r="R38" s="6" t="inlineStr"/>
      <c r="S38" s="6" t="inlineStr">
        <is>
          <t>.claude/skills/claims-il-and-label-keeper/SKILL.md:60; .claude/skills/regulatory-manager/SKILL.md:140; .claude/skills/regulatory-manager/references/pedrero-contacts.md:9,13,21</t>
        </is>
      </c>
      <c r="T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7" t="inlineStr">
        <is>
          <t>I</t>
        </is>
      </c>
      <c r="E39" s="9" t="inlineStr">
        <is>
          <t>A/R</t>
        </is>
      </c>
      <c r="F39" s="7" t="inlineStr"/>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6" t="inlineStr">
        <is>
          <t>Product Development Specialist</t>
        </is>
      </c>
      <c r="S39" s="6" t="inlineStr">
        <is>
          <t>.claude/skills/claims-il-and-label-keeper/SKILL.md:97; .claude/skills/claims-il-and-label-keeper/references/il-claims-label-procedure.md:29; Alvin, 2026-07-31 (role correction); .claude/skills/regulatory-manager/references/pedrero-contacts.md:9,13,21</t>
        </is>
      </c>
      <c r="T39"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 Pedrero Regulatory holds the binding external review; consult-only internally, with no Asana access and no internal authority, so the Reg Lead gate stays in-house.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7" t="inlineStr">
        <is>
          <t>C</t>
        </is>
      </c>
      <c r="G40" s="7" t="inlineStr"/>
      <c r="H40" s="7" t="inlineStr"/>
      <c r="I40" s="7" t="inlineStr"/>
      <c r="J40" s="7" t="inlineStr"/>
      <c r="K40" s="9" t="inlineStr">
        <is>
          <t>A</t>
        </is>
      </c>
      <c r="L40" s="7" t="inlineStr"/>
      <c r="M40" s="7" t="inlineStr">
        <is>
          <t>C</t>
        </is>
      </c>
      <c r="N40" s="7" t="inlineStr">
        <is>
          <t>C</t>
        </is>
      </c>
      <c r="O40" s="7" t="inlineStr">
        <is>
          <t>C</t>
        </is>
      </c>
      <c r="P40" s="7" t="inlineStr"/>
      <c r="Q40" s="7" t="inlineStr"/>
      <c r="R40" s="6" t="inlineStr"/>
      <c r="S40" s="6" t="inlineStr">
        <is>
          <t>.claude/skills/claims-il-and-label-keeper/SKILL.md:85; .claude/skills/claims-il-and-label-keeper/references/il-claims-label-procedure.md:93; Alvin, 2026-07-31 (role correction); .claude/skills/regulatory-manager/references/pedrero-contacts.md:9,13,21</t>
        </is>
      </c>
      <c r="T40"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 Pedrero Regulatory holds the binding external review; consult-only internally, with no Asana access and no internal authority, so the Reg Lead gate stays in-house.</t>
        </is>
      </c>
    </row>
    <row r="41">
      <c r="A41" s="5" t="inlineStr">
        <is>
          <t>Regulatory &amp; Compliance</t>
        </is>
      </c>
      <c r="B41" s="6" t="inlineStr">
        <is>
          <t>Reformulation claim bridge when a SKU reformulates without QIL parity</t>
        </is>
      </c>
      <c r="C41" s="7" t="inlineStr"/>
      <c r="D41" s="7" t="inlineStr"/>
      <c r="E41" s="9" t="inlineStr">
        <is>
          <t>A</t>
        </is>
      </c>
      <c r="F41" s="7" t="inlineStr">
        <is>
          <t>C</t>
        </is>
      </c>
      <c r="G41" s="7" t="inlineStr"/>
      <c r="H41" s="7" t="inlineStr"/>
      <c r="I41" s="7" t="inlineStr"/>
      <c r="J41" s="7" t="inlineStr"/>
      <c r="K41" s="7" t="inlineStr"/>
      <c r="L41" s="7" t="inlineStr"/>
      <c r="M41" s="7" t="inlineStr"/>
      <c r="N41" s="8" t="inlineStr">
        <is>
          <t>R</t>
        </is>
      </c>
      <c r="O41" s="7" t="inlineStr">
        <is>
          <t>C</t>
        </is>
      </c>
      <c r="P41" s="7" t="inlineStr"/>
      <c r="Q41" s="7" t="inlineStr"/>
      <c r="R41" s="6" t="inlineStr"/>
      <c r="S41" s="6" t="inlineStr">
        <is>
          <t>.claude/skills/claims-il-and-label-keeper/references/il-claims-label-procedure.md:281; .claude/skills/regulatory-manager/references/pedrero-contacts.md:9,13,21</t>
        </is>
      </c>
      <c r="T41" s="6" t="inlineStr">
        <is>
          <t>Reg Lead approves the QIL recovery ask to the prior manufacturer; PD Lead does the formulation work. Pedrero Regulatory holds the binding external review; consult-only internally, with no Asana access and no internal authority, so the Reg Lead gate stays in-house.</t>
        </is>
      </c>
    </row>
    <row r="42">
      <c r="A42" s="5" t="inlineStr">
        <is>
          <t>Regulatory &amp; Compliance</t>
        </is>
      </c>
      <c r="B42" s="6" t="inlineStr">
        <is>
          <t>Retailer attestation responses (Sephora, Ulta, Whole Foods, Credo)</t>
        </is>
      </c>
      <c r="C42" s="7" t="inlineStr">
        <is>
          <t>C</t>
        </is>
      </c>
      <c r="D42" s="7" t="inlineStr">
        <is>
          <t>I</t>
        </is>
      </c>
      <c r="E42" s="9" t="inlineStr">
        <is>
          <t>A/R</t>
        </is>
      </c>
      <c r="F42" s="7" t="inlineStr">
        <is>
          <t>C</t>
        </is>
      </c>
      <c r="G42" s="7" t="inlineStr"/>
      <c r="H42" s="7" t="inlineStr">
        <is>
          <t>-&gt;</t>
        </is>
      </c>
      <c r="I42" s="7" t="inlineStr"/>
      <c r="J42" s="7" t="inlineStr"/>
      <c r="K42" s="7" t="inlineStr"/>
      <c r="L42" s="7" t="inlineStr"/>
      <c r="M42" s="7" t="inlineStr"/>
      <c r="N42" s="7" t="inlineStr">
        <is>
          <t>C</t>
        </is>
      </c>
      <c r="O42" s="7" t="inlineStr">
        <is>
          <t>C</t>
        </is>
      </c>
      <c r="P42" s="7" t="inlineStr"/>
      <c r="Q42" s="7" t="inlineStr"/>
      <c r="R42" s="6" t="inlineStr">
        <is>
          <t>Product Development Specialist</t>
        </is>
      </c>
      <c r="S42" s="6" t="inlineStr">
        <is>
          <t>.claude/skills/claims-il-and-label-keeper/SKILL.md:105; .claude/skills/regulatory-manager/SKILL.md:122; Alvin, 2026-07-31 (role correction); .claude/skills/regulatory-manager/references/pedrero-contacts.md:9,13,21</t>
        </is>
      </c>
      <c r="T42" s="6" t="inlineStr">
        <is>
          <t>Reg Lead approves the retailer submission after Pedrero approval. Voice of Customer consults where customer-perceived attributes matter. A and R both AB. Ayesha consulted - retailer clean-standard positioning is a brand claim. Pedrero Regulatory holds the binding external review; consult-only internally, with no Asana access and no internal authority, so the Reg Lead gate stays in-house.</t>
        </is>
      </c>
    </row>
    <row r="43">
      <c r="A43" s="5" t="inlineStr">
        <is>
          <t>Regulatory &amp; Compliance</t>
        </is>
      </c>
      <c r="B43" s="6" t="inlineStr">
        <is>
          <t>MoCRA registrations, state filings and Leaping Bunny renewal</t>
        </is>
      </c>
      <c r="C43" s="7" t="inlineStr"/>
      <c r="D43" s="7" t="inlineStr"/>
      <c r="E43" s="9" t="inlineStr">
        <is>
          <t>A/R</t>
        </is>
      </c>
      <c r="F43" s="7" t="inlineStr"/>
      <c r="G43" s="7" t="inlineStr"/>
      <c r="H43" s="7" t="inlineStr">
        <is>
          <t>-&gt;</t>
        </is>
      </c>
      <c r="I43" s="7" t="inlineStr">
        <is>
          <t>I</t>
        </is>
      </c>
      <c r="J43" s="7" t="inlineStr"/>
      <c r="K43" s="7" t="inlineStr"/>
      <c r="L43" s="7" t="inlineStr"/>
      <c r="M43" s="7" t="inlineStr"/>
      <c r="N43" s="7" t="inlineStr">
        <is>
          <t>I</t>
        </is>
      </c>
      <c r="O43" s="7" t="inlineStr">
        <is>
          <t>C</t>
        </is>
      </c>
      <c r="P43" s="7" t="inlineStr"/>
      <c r="Q43" s="7" t="inlineStr"/>
      <c r="R43" s="6" t="inlineStr">
        <is>
          <t>Product Development Specialist</t>
        </is>
      </c>
      <c r="S43" s="6" t="inlineStr">
        <is>
          <t>.claude/skills/regulatory-manager/SKILL.md:114,367; .claude/skills/regulatory-manager/references/pedrero-contacts.md:9,13,21</t>
        </is>
      </c>
      <c r="T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c r="H44" s="7" t="inlineStr"/>
      <c r="I44" s="7" t="inlineStr"/>
      <c r="J44" s="7" t="inlineStr"/>
      <c r="K44" s="7" t="inlineStr"/>
      <c r="L44" s="7" t="inlineStr"/>
      <c r="M44" s="7" t="inlineStr"/>
      <c r="N44" s="7" t="inlineStr">
        <is>
          <t>C</t>
        </is>
      </c>
      <c r="O44" s="7" t="inlineStr">
        <is>
          <t>C</t>
        </is>
      </c>
      <c r="P44" s="7" t="inlineStr"/>
      <c r="Q44" s="7" t="inlineStr"/>
      <c r="R44" s="6" t="inlineStr"/>
      <c r="S44" s="6" t="inlineStr">
        <is>
          <t>.claude/skills/adverse-event-and-recall-reporter/SKILL.md:65,108; .claude/skills/regulatory-manager/references/pedrero-contacts.md:9,13,21</t>
        </is>
      </c>
      <c r="T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c r="E45" s="9" t="inlineStr">
        <is>
          <t>A/R</t>
        </is>
      </c>
      <c r="F45" s="7" t="inlineStr">
        <is>
          <t>I</t>
        </is>
      </c>
      <c r="G45" s="7" t="inlineStr"/>
      <c r="H45" s="7" t="inlineStr"/>
      <c r="I45" s="7" t="inlineStr"/>
      <c r="J45" s="7" t="inlineStr"/>
      <c r="K45" s="7" t="inlineStr"/>
      <c r="L45" s="7" t="inlineStr"/>
      <c r="M45" s="7" t="inlineStr"/>
      <c r="N45" s="7" t="inlineStr">
        <is>
          <t>C</t>
        </is>
      </c>
      <c r="O45" s="7" t="inlineStr">
        <is>
          <t>C</t>
        </is>
      </c>
      <c r="P45" s="7" t="inlineStr"/>
      <c r="Q45" s="7" t="inlineStr"/>
      <c r="R45" s="6" t="inlineStr"/>
      <c r="S45" s="6" t="inlineStr">
        <is>
          <t>.claude/skills/regulatory-manager/SKILL.md:60; .claude/skills/regulatory-status-reporter/SKILL.md:90; .claude/skills/regulatory-manager/references/pedrero-contacts.md:9,13,21</t>
        </is>
      </c>
      <c r="T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I</t>
        </is>
      </c>
      <c r="G46" s="7" t="inlineStr"/>
      <c r="H46" s="7" t="inlineStr"/>
      <c r="I46" s="7" t="inlineStr"/>
      <c r="J46" s="7" t="inlineStr"/>
      <c r="K46" s="7" t="inlineStr"/>
      <c r="L46" s="7" t="inlineStr"/>
      <c r="M46" s="7" t="inlineStr"/>
      <c r="N46" s="7" t="inlineStr"/>
      <c r="O46" s="7" t="inlineStr">
        <is>
          <t>C</t>
        </is>
      </c>
      <c r="P46" s="7" t="inlineStr"/>
      <c r="Q46" s="7" t="inlineStr"/>
      <c r="R46" s="6" t="inlineStr"/>
      <c r="S46" s="6" t="inlineStr">
        <is>
          <t>.claude/skills/regulatory-manager/references/pedrero-contacts.md:50; Alvin, 2026-07-31 (external partners)</t>
        </is>
      </c>
      <c r="T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c r="H47" s="7" t="inlineStr"/>
      <c r="I47" s="7" t="inlineStr"/>
      <c r="J47" s="7" t="inlineStr"/>
      <c r="K47" s="7" t="inlineStr"/>
      <c r="L47" s="7" t="inlineStr"/>
      <c r="M47" s="7" t="inlineStr"/>
      <c r="N47" s="7" t="inlineStr"/>
      <c r="O47" s="7" t="inlineStr"/>
      <c r="P47" s="7" t="inlineStr"/>
      <c r="Q47" s="7" t="inlineStr"/>
      <c r="R47" s="6" t="inlineStr"/>
      <c r="S47" s="6" t="inlineStr">
        <is>
          <t>.claude/skills/purchasing-manager/SKILL.md:55</t>
        </is>
      </c>
      <c r="T47" s="6" t="inlineStr">
        <is>
          <t>First-contact owner for retailer, promotional_goods and accessories vendor types is the Sr. Director Consumer Strategy &amp; Ops. A and R both NI.</t>
        </is>
      </c>
    </row>
    <row r="48">
      <c r="A48" s="5" t="inlineStr">
        <is>
          <t>Retail &amp; Wholesale</t>
        </is>
      </c>
      <c r="B48" s="6" t="inlineStr">
        <is>
          <t>Retail channel launch programs: UBM cohort positioning, price ladder, Amazon Vendor</t>
        </is>
      </c>
      <c r="C48" s="7" t="inlineStr"/>
      <c r="D48" s="7" t="inlineStr">
        <is>
          <t>I</t>
        </is>
      </c>
      <c r="E48" s="8" t="inlineStr">
        <is>
          <t>R</t>
        </is>
      </c>
      <c r="F48" s="9" t="inlineStr">
        <is>
          <t>A</t>
        </is>
      </c>
      <c r="G48" s="7" t="inlineStr"/>
      <c r="H48" s="7" t="inlineStr"/>
      <c r="I48" s="7" t="inlineStr">
        <is>
          <t>C</t>
        </is>
      </c>
      <c r="J48" s="7" t="inlineStr"/>
      <c r="K48" s="7" t="inlineStr"/>
      <c r="L48" s="7" t="inlineStr"/>
      <c r="M48" s="7" t="inlineStr"/>
      <c r="N48" s="7" t="inlineStr"/>
      <c r="O48" s="7" t="inlineStr"/>
      <c r="P48" s="7" t="inlineStr"/>
      <c r="Q48" s="7" t="inlineStr"/>
      <c r="R48" s="6" t="inlineStr"/>
      <c r="S48" s="6" t="inlineStr">
        <is>
          <t>.claude/skills/purchasing-manager/SKILL.md:55; .claude/skills/sjs-retail-intel/SKILL.md:52; .claude/skills/logistics-manager/SKILL.md:80</t>
        </is>
      </c>
      <c r="T48" s="6" t="inlineStr">
        <is>
          <t>UBM launch June 2026. Nicole holds the channel relationship; Alvin runs the positioning and outbound work.</t>
        </is>
      </c>
    </row>
    <row r="49">
      <c r="A49" s="5" t="inlineStr">
        <is>
          <t>Marketing &amp; Brand</t>
        </is>
      </c>
      <c r="B49" s="6" t="inlineStr">
        <is>
          <t>Quarterly competitive teardowns across the five comp brands</t>
        </is>
      </c>
      <c r="C49" s="7" t="inlineStr">
        <is>
          <t>I</t>
        </is>
      </c>
      <c r="D49" s="7" t="inlineStr">
        <is>
          <t>C</t>
        </is>
      </c>
      <c r="E49" s="7" t="inlineStr">
        <is>
          <t>I</t>
        </is>
      </c>
      <c r="F49" s="7" t="inlineStr">
        <is>
          <t>C</t>
        </is>
      </c>
      <c r="G49" s="7" t="inlineStr"/>
      <c r="H49" s="7" t="inlineStr"/>
      <c r="I49" s="9" t="inlineStr">
        <is>
          <t>A/R</t>
        </is>
      </c>
      <c r="J49" s="7" t="inlineStr">
        <is>
          <t>C</t>
        </is>
      </c>
      <c r="K49" s="7" t="inlineStr"/>
      <c r="L49" s="7" t="inlineStr"/>
      <c r="M49" s="7" t="inlineStr"/>
      <c r="N49" s="7" t="inlineStr"/>
      <c r="O49" s="7" t="inlineStr"/>
      <c r="P49" s="7" t="inlineStr"/>
      <c r="Q49" s="7" t="inlineStr"/>
      <c r="R49" s="6" t="inlineStr"/>
      <c r="S49" s="6" t="inlineStr">
        <is>
          <t>.claude/skills/sjs-comp-intel/references/team-ownership.md:19,23-30; Alvin, 2026-07-31 (role correction)</t>
        </is>
      </c>
      <c r="T49" s="6" t="inlineStr">
        <is>
          <t>Soraya owns teardown production and comp brand profile maintenance. A and R both SS. Danielle consulted rather than only receiving the finished teardown.</t>
        </is>
      </c>
    </row>
    <row r="50">
      <c r="A50" s="5" t="inlineStr">
        <is>
          <t>Marketing &amp; Brand</t>
        </is>
      </c>
      <c r="B50" s="6" t="inlineStr">
        <is>
          <t>Quarterly teardown sign-off before circulation</t>
        </is>
      </c>
      <c r="C50" s="7" t="inlineStr"/>
      <c r="D50" s="7" t="inlineStr">
        <is>
          <t>I</t>
        </is>
      </c>
      <c r="E50" s="9" t="inlineStr">
        <is>
          <t>A</t>
        </is>
      </c>
      <c r="F50" s="7" t="inlineStr">
        <is>
          <t>C</t>
        </is>
      </c>
      <c r="G50" s="7" t="inlineStr"/>
      <c r="H50" s="7" t="inlineStr"/>
      <c r="I50" s="8" t="inlineStr">
        <is>
          <t>R</t>
        </is>
      </c>
      <c r="J50" s="7" t="inlineStr"/>
      <c r="K50" s="7" t="inlineStr"/>
      <c r="L50" s="7" t="inlineStr"/>
      <c r="M50" s="7" t="inlineStr"/>
      <c r="N50" s="7" t="inlineStr"/>
      <c r="O50" s="7" t="inlineStr"/>
      <c r="P50" s="7" t="inlineStr"/>
      <c r="Q50" s="7" t="inlineStr"/>
      <c r="R50" s="6" t="inlineStr"/>
      <c r="S50" s="6" t="inlineStr">
        <is>
          <t>.claude/skills/sjs-comp-intel/references/team-ownership.md:65; .claude/skills/sjs-comp-intel/SKILL.md:50</t>
        </is>
      </c>
      <c r="T50" s="6" t="inlineStr">
        <is>
          <t>Alvin signs off before it circulates to Danielle and the SJS brand team.</t>
        </is>
      </c>
    </row>
    <row r="51">
      <c r="A51" s="5" t="inlineStr">
        <is>
          <t>Marketing &amp; Brand</t>
        </is>
      </c>
      <c r="B51" s="6" t="inlineStr">
        <is>
          <t>Monthly competitive trend digest and cross-stream signal routing</t>
        </is>
      </c>
      <c r="C51" s="7" t="inlineStr">
        <is>
          <t>I</t>
        </is>
      </c>
      <c r="D51" s="7" t="inlineStr">
        <is>
          <t>C</t>
        </is>
      </c>
      <c r="E51" s="7" t="inlineStr">
        <is>
          <t>I</t>
        </is>
      </c>
      <c r="F51" s="9" t="inlineStr">
        <is>
          <t>A/R</t>
        </is>
      </c>
      <c r="G51" s="7" t="inlineStr"/>
      <c r="H51" s="7" t="inlineStr"/>
      <c r="I51" s="7" t="inlineStr">
        <is>
          <t>C</t>
        </is>
      </c>
      <c r="J51" s="7" t="inlineStr">
        <is>
          <t>C</t>
        </is>
      </c>
      <c r="K51" s="7" t="inlineStr"/>
      <c r="L51" s="7" t="inlineStr"/>
      <c r="M51" s="7" t="inlineStr"/>
      <c r="N51" s="7" t="inlineStr"/>
      <c r="O51" s="7" t="inlineStr"/>
      <c r="P51" s="7" t="inlineStr"/>
      <c r="Q51" s="7" t="inlineStr"/>
      <c r="R51" s="6" t="inlineStr"/>
      <c r="S51" s="6" t="inlineStr">
        <is>
          <t>.claude/skills/sjs-comp-intel/references/team-ownership.md:3,9-15; Alvin, 2026-07-31 (role correction)</t>
        </is>
      </c>
      <c r="T51" s="6" t="inlineStr">
        <is>
          <t>Stream DRI owns digest production and the 'what it means for SJS' analytical layer. Named as the stream's heartbeat - first thing protected under capacity pressure. A and R both NI. Danielle consulted on the digest's read.</t>
        </is>
      </c>
    </row>
    <row r="52">
      <c r="A52" s="5" t="inlineStr">
        <is>
          <t>Marketing &amp; Brand</t>
        </is>
      </c>
      <c r="B52" s="6" t="inlineStr">
        <is>
          <t>Social listening and comp brand monitoring (TikTok, IG, Pinterest, retailer new arrivals)</t>
        </is>
      </c>
      <c r="C52" s="7" t="inlineStr">
        <is>
          <t>I</t>
        </is>
      </c>
      <c r="D52" s="7" t="inlineStr">
        <is>
          <t>C</t>
        </is>
      </c>
      <c r="E52" s="7" t="inlineStr"/>
      <c r="F52" s="7" t="inlineStr"/>
      <c r="G52" s="7" t="inlineStr"/>
      <c r="H52" s="7" t="inlineStr"/>
      <c r="I52" s="7" t="inlineStr">
        <is>
          <t>C</t>
        </is>
      </c>
      <c r="J52" s="9" t="inlineStr">
        <is>
          <t>A/R</t>
        </is>
      </c>
      <c r="K52" s="7" t="inlineStr"/>
      <c r="L52" s="7" t="inlineStr"/>
      <c r="M52" s="7" t="inlineStr"/>
      <c r="N52" s="7" t="inlineStr"/>
      <c r="O52" s="7" t="inlineStr"/>
      <c r="P52" s="7" t="inlineStr"/>
      <c r="Q52" s="7" t="inlineStr"/>
      <c r="R52" s="6" t="inlineStr"/>
      <c r="S52" s="6" t="inlineStr">
        <is>
          <t>.claude/skills/sjs-comp-intel/references/team-ownership.md:34,40-44; Alvin, 2026-07-31 (role correction)</t>
        </is>
      </c>
      <c r="T52" s="6" t="inlineStr">
        <is>
          <t>Kate owns social listening tool maintenance, query hygiene and the weekly retailer new-arrivals scan. A and R both KL. Danielle consulted on what the social signal implies for brand.</t>
        </is>
      </c>
    </row>
    <row r="53">
      <c r="A53" s="5" t="inlineStr">
        <is>
          <t>Marketing &amp; Brand</t>
        </is>
      </c>
      <c r="B53" s="6" t="inlineStr">
        <is>
          <t>Brand guideline custody (fonts, colors, logos, voice)</t>
        </is>
      </c>
      <c r="C53" s="7" t="inlineStr">
        <is>
          <t>C</t>
        </is>
      </c>
      <c r="D53" s="9" t="inlineStr">
        <is>
          <t>A</t>
        </is>
      </c>
      <c r="E53" s="7" t="inlineStr"/>
      <c r="F53" s="7" t="inlineStr"/>
      <c r="G53" s="7" t="inlineStr"/>
      <c r="H53" s="7" t="inlineStr"/>
      <c r="I53" s="7" t="inlineStr">
        <is>
          <t>C</t>
        </is>
      </c>
      <c r="J53" s="7" t="inlineStr">
        <is>
          <t>I</t>
        </is>
      </c>
      <c r="K53" s="8" t="inlineStr">
        <is>
          <t>R</t>
        </is>
      </c>
      <c r="L53" s="7" t="inlineStr">
        <is>
          <t>C</t>
        </is>
      </c>
      <c r="M53" s="7" t="inlineStr"/>
      <c r="N53" s="7" t="inlineStr"/>
      <c r="O53" s="7" t="inlineStr"/>
      <c r="P53" s="7" t="inlineStr"/>
      <c r="Q53" s="7" t="inlineStr"/>
      <c r="R53" s="6" t="inlineStr"/>
      <c r="S53" s="6" t="inlineStr">
        <is>
          <t>.claude/skills/sweet-july-skin-brand/SKILL.md:1; references/architecture/system_map.md:157; Alvin, 2026-07-31 (role correction)</t>
        </is>
      </c>
      <c r="T53"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t>
        </is>
      </c>
    </row>
    <row r="54">
      <c r="A54" s="5" t="inlineStr">
        <is>
          <t>Marketing &amp; Brand</t>
        </is>
      </c>
      <c r="B54" s="6" t="inlineStr">
        <is>
          <t>Annual team holiday communications (11 sends across 3 templates)</t>
        </is>
      </c>
      <c r="C54" s="7" t="inlineStr"/>
      <c r="D54" s="7" t="inlineStr">
        <is>
          <t>I</t>
        </is>
      </c>
      <c r="E54" s="9" t="inlineStr">
        <is>
          <t>A/R</t>
        </is>
      </c>
      <c r="F54" s="7" t="inlineStr">
        <is>
          <t>I</t>
        </is>
      </c>
      <c r="G54" s="7" t="inlineStr"/>
      <c r="H54" s="7" t="inlineStr"/>
      <c r="I54" s="7" t="inlineStr">
        <is>
          <t>I</t>
        </is>
      </c>
      <c r="J54" s="7" t="inlineStr">
        <is>
          <t>I</t>
        </is>
      </c>
      <c r="K54" s="7" t="inlineStr"/>
      <c r="L54" s="7" t="inlineStr">
        <is>
          <t>I</t>
        </is>
      </c>
      <c r="M54" s="7" t="inlineStr"/>
      <c r="N54" s="7" t="inlineStr"/>
      <c r="O54" s="7" t="inlineStr"/>
      <c r="P54" s="7" t="inlineStr"/>
      <c r="Q54" s="7" t="inlineStr"/>
      <c r="R54" s="6" t="inlineStr"/>
      <c r="S54" s="6" t="inlineStr">
        <is>
          <t>.claude/skills/ac-brands-holiday-comms/SKILL.md:26,165</t>
        </is>
      </c>
      <c r="T54" s="6" t="inlineStr">
        <is>
          <t>Sends from alvin@ac-brands.com with the team on BCC. Includes the Outlook calendar sync and annual maintenance. A and R both AB.</t>
        </is>
      </c>
    </row>
    <row r="55">
      <c r="A55" s="5" t="inlineStr">
        <is>
          <t>Marketing &amp; Brand</t>
        </is>
      </c>
      <c r="B55" s="6" t="inlineStr">
        <is>
          <t>Weekly founder briefing, Slides 5 and 6</t>
        </is>
      </c>
      <c r="C55" s="7" t="inlineStr">
        <is>
          <t>I</t>
        </is>
      </c>
      <c r="D55" s="7" t="inlineStr">
        <is>
          <t>I</t>
        </is>
      </c>
      <c r="E55" s="9" t="inlineStr">
        <is>
          <t>A/R</t>
        </is>
      </c>
      <c r="F55" s="7" t="inlineStr">
        <is>
          <t>C</t>
        </is>
      </c>
      <c r="G55" s="7" t="inlineStr"/>
      <c r="H55" s="7" t="inlineStr"/>
      <c r="I55" s="7" t="inlineStr"/>
      <c r="J55" s="7" t="inlineStr"/>
      <c r="K55" s="7" t="inlineStr"/>
      <c r="L55" s="7" t="inlineStr"/>
      <c r="M55" s="7" t="inlineStr"/>
      <c r="N55" s="7" t="inlineStr">
        <is>
          <t>C</t>
        </is>
      </c>
      <c r="O55" s="7" t="inlineStr"/>
      <c r="P55" s="7" t="inlineStr"/>
      <c r="Q55" s="7" t="inlineStr"/>
      <c r="R55" s="6" t="inlineStr"/>
      <c r="S55" s="6" t="inlineStr">
        <is>
          <t>.claude/skills/ayesha-weekly-briefing/SKILL.md:49,72</t>
        </is>
      </c>
      <c r="T55" s="6" t="inlineStr">
        <is>
          <t>Alvin owns both Slide 5 (Business Operations) and Slide 6 PD-Ops content; Nicole co-authors Slide 6 with her core PD content. A and R both AB.</t>
        </is>
      </c>
    </row>
    <row r="56">
      <c r="A56" s="5" t="inlineStr">
        <is>
          <t>Marketing &amp; Brand</t>
        </is>
      </c>
      <c r="B56" s="6" t="inlineStr">
        <is>
          <t>Operational special projects: labels, PR seeding, sampling</t>
        </is>
      </c>
      <c r="C56" s="7" t="inlineStr">
        <is>
          <t>I</t>
        </is>
      </c>
      <c r="D56" s="7" t="inlineStr">
        <is>
          <t>C</t>
        </is>
      </c>
      <c r="E56" s="8" t="inlineStr">
        <is>
          <t>R</t>
        </is>
      </c>
      <c r="F56" s="9" t="inlineStr">
        <is>
          <t>A</t>
        </is>
      </c>
      <c r="G56" s="7" t="inlineStr">
        <is>
          <t>-&gt;</t>
        </is>
      </c>
      <c r="H56" s="7" t="inlineStr"/>
      <c r="I56" s="7" t="inlineStr">
        <is>
          <t>C</t>
        </is>
      </c>
      <c r="J56" s="7" t="inlineStr">
        <is>
          <t>C</t>
        </is>
      </c>
      <c r="K56" s="7" t="inlineStr">
        <is>
          <t>C</t>
        </is>
      </c>
      <c r="L56" s="7" t="inlineStr"/>
      <c r="M56" s="7" t="inlineStr"/>
      <c r="N56" s="7" t="inlineStr"/>
      <c r="O56" s="7" t="inlineStr"/>
      <c r="P56" s="7" t="inlineStr"/>
      <c r="Q56" s="7" t="inlineStr"/>
      <c r="R56" s="6" t="inlineStr">
        <is>
          <t>Operations Specialist</t>
        </is>
      </c>
      <c r="S56" s="6" t="inlineStr">
        <is>
          <t>SharePoint: Sweet July Skin - Operations Specialist - Job Description.docx; Email to Danielle 2026-07-27 'Proposed Ops Positions'; Alvin, 2026-07-31 (role correction)</t>
        </is>
      </c>
      <c r="T56" s="6" t="inlineStr">
        <is>
          <t>Named in the Ops Specialist JD, and in the email as making sure product is where it needs to be for launches, promos, PR seeding and sampling. Danielle consulted - PR seeding and sampling are brand-facing.</t>
        </is>
      </c>
    </row>
    <row r="57">
      <c r="A57" s="5" t="inlineStr">
        <is>
          <t>Marketing &amp; Brand</t>
        </is>
      </c>
      <c r="B57" s="6" t="inlineStr">
        <is>
          <t>Campaign direction and seasonal brand moments</t>
        </is>
      </c>
      <c r="C57" s="7" t="inlineStr">
        <is>
          <t>C</t>
        </is>
      </c>
      <c r="D57" s="9" t="inlineStr">
        <is>
          <t>A</t>
        </is>
      </c>
      <c r="E57" s="7" t="inlineStr">
        <is>
          <t>I</t>
        </is>
      </c>
      <c r="F57" s="7" t="inlineStr">
        <is>
          <t>C</t>
        </is>
      </c>
      <c r="G57" s="7" t="inlineStr"/>
      <c r="H57" s="7" t="inlineStr"/>
      <c r="I57" s="8" t="inlineStr">
        <is>
          <t>R</t>
        </is>
      </c>
      <c r="J57" s="7" t="inlineStr">
        <is>
          <t>C</t>
        </is>
      </c>
      <c r="K57" s="7" t="inlineStr">
        <is>
          <t>C</t>
        </is>
      </c>
      <c r="L57" s="7" t="inlineStr"/>
      <c r="M57" s="7" t="inlineStr"/>
      <c r="N57" s="7" t="inlineStr"/>
      <c r="O57" s="7" t="inlineStr"/>
      <c r="P57" s="7" t="inlineStr"/>
      <c r="Q57" s="7" t="inlineStr"/>
      <c r="R57" s="6" t="inlineStr"/>
      <c r="S57" s="6" t="inlineStr">
        <is>
          <t>Alvin, 2026-07-31 (role correction); .claude/skills/sjs-margin-walk-away/SKILL.md:93</t>
        </is>
      </c>
      <c r="T57"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58">
      <c r="A58" s="5" t="inlineStr">
        <is>
          <t>Creative</t>
        </is>
      </c>
      <c r="B58" s="6" t="inlineStr">
        <is>
          <t>Creative direction on packaging, artwork and brand visuals</t>
        </is>
      </c>
      <c r="C58" s="7" t="inlineStr">
        <is>
          <t>C</t>
        </is>
      </c>
      <c r="D58" s="7" t="inlineStr">
        <is>
          <t>C</t>
        </is>
      </c>
      <c r="E58" s="7" t="inlineStr">
        <is>
          <t>I</t>
        </is>
      </c>
      <c r="F58" s="7" t="inlineStr"/>
      <c r="G58" s="7" t="inlineStr"/>
      <c r="H58" s="7" t="inlineStr"/>
      <c r="I58" s="7" t="inlineStr">
        <is>
          <t>C</t>
        </is>
      </c>
      <c r="J58" s="7" t="inlineStr"/>
      <c r="K58" s="9" t="inlineStr">
        <is>
          <t>A/R</t>
        </is>
      </c>
      <c r="L58" s="7" t="inlineStr">
        <is>
          <t>C</t>
        </is>
      </c>
      <c r="M58" s="7" t="inlineStr"/>
      <c r="N58" s="7" t="inlineStr"/>
      <c r="O58" s="7" t="inlineStr"/>
      <c r="P58" s="7" t="inlineStr"/>
      <c r="Q58" s="7" t="inlineStr"/>
      <c r="R58" s="6" t="inlineStr"/>
      <c r="S58" s="6" t="inlineStr">
        <is>
          <t>.claude/skills/asana-pd-manager/references/role-map.md:22; Alvin, 2026-07-31 (role correction)</t>
        </is>
      </c>
      <c r="T58"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59">
      <c r="A59" s="5" t="inlineStr">
        <is>
          <t>Creative</t>
        </is>
      </c>
      <c r="B59" s="6" t="inlineStr">
        <is>
          <t>Packaging and artwork execution</t>
        </is>
      </c>
      <c r="C59" s="7" t="inlineStr">
        <is>
          <t>I</t>
        </is>
      </c>
      <c r="D59" s="7" t="inlineStr">
        <is>
          <t>I</t>
        </is>
      </c>
      <c r="E59" s="7" t="inlineStr">
        <is>
          <t>I</t>
        </is>
      </c>
      <c r="F59" s="7" t="inlineStr"/>
      <c r="G59" s="7" t="inlineStr"/>
      <c r="H59" s="7" t="inlineStr"/>
      <c r="I59" s="7" t="inlineStr"/>
      <c r="J59" s="7" t="inlineStr"/>
      <c r="K59" s="9" t="inlineStr">
        <is>
          <t>A</t>
        </is>
      </c>
      <c r="L59" s="7" t="inlineStr">
        <is>
          <t>C</t>
        </is>
      </c>
      <c r="M59" s="8" t="inlineStr">
        <is>
          <t>R</t>
        </is>
      </c>
      <c r="N59" s="7" t="inlineStr">
        <is>
          <t>C</t>
        </is>
      </c>
      <c r="O59" s="7" t="inlineStr"/>
      <c r="P59" s="7" t="inlineStr"/>
      <c r="Q59" s="7" t="inlineStr"/>
      <c r="R59" s="6" t="inlineStr"/>
      <c r="S59" s="6" t="inlineStr">
        <is>
          <t>.claude/skills/asana-pd-manager/references/role-map.md:23; .claude/skills/sjs-comp-intel/references/team-ownership.md:79; Alvin, 2026-07-31 (role correction)</t>
        </is>
      </c>
      <c r="T59" s="6" t="inlineStr">
        <is>
          <t>Jan is the creative contractor under Erin. Title differs between sources - Packaging Engineer in one, creative contractor in the other. Erin holds technical authority; Jan executes. Both contractors.</t>
        </is>
      </c>
    </row>
    <row r="60">
      <c r="A60" s="5" t="inlineStr">
        <is>
          <t>Creative</t>
        </is>
      </c>
      <c r="B60" s="6" t="inlineStr">
        <is>
          <t>Creative Requests intake and design coordination</t>
        </is>
      </c>
      <c r="C60" s="7" t="inlineStr"/>
      <c r="D60" s="7" t="inlineStr">
        <is>
          <t>C</t>
        </is>
      </c>
      <c r="E60" s="7" t="inlineStr">
        <is>
          <t>I</t>
        </is>
      </c>
      <c r="F60" s="7" t="inlineStr"/>
      <c r="G60" s="7" t="inlineStr"/>
      <c r="H60" s="7" t="inlineStr"/>
      <c r="I60" s="7" t="inlineStr">
        <is>
          <t>C</t>
        </is>
      </c>
      <c r="J60" s="7" t="inlineStr"/>
      <c r="K60" s="7" t="inlineStr">
        <is>
          <t>C</t>
        </is>
      </c>
      <c r="L60" s="9" t="inlineStr">
        <is>
          <t>A/R</t>
        </is>
      </c>
      <c r="M60" s="7" t="inlineStr"/>
      <c r="N60" s="7" t="inlineStr"/>
      <c r="O60" s="7" t="inlineStr"/>
      <c r="P60" s="7" t="inlineStr"/>
      <c r="Q60" s="7" t="inlineStr"/>
      <c r="R60" s="6" t="inlineStr"/>
      <c r="S60" s="6" t="inlineStr">
        <is>
          <t>.claude/skills/sjs-status-reporter/SKILL.md:352; .claude/skills/asana-pd-manager/references/role-map.md:24; Alvin, 2026-07-31 (role correction)</t>
        </is>
      </c>
      <c r="T60" s="6" t="inlineStr">
        <is>
          <t>Creative Requests Asana project owner is Ivy, Editorial/Design team. Ivy supports Erin and Jan. A and R both IT. Danielle consulted on intake priority.</t>
        </is>
      </c>
    </row>
    <row r="61">
      <c r="A61" s="5" t="inlineStr">
        <is>
          <t>Ecommerce &amp; DTC</t>
        </is>
      </c>
      <c r="B61" s="6" t="inlineStr">
        <is>
          <t>Shopify revenue and channel position read</t>
        </is>
      </c>
      <c r="C61" s="7" t="inlineStr"/>
      <c r="D61" s="7" t="inlineStr">
        <is>
          <t>I</t>
        </is>
      </c>
      <c r="E61" s="9" t="inlineStr">
        <is>
          <t>A/R</t>
        </is>
      </c>
      <c r="F61" s="7" t="inlineStr">
        <is>
          <t>C</t>
        </is>
      </c>
      <c r="G61" s="7" t="inlineStr"/>
      <c r="H61" s="7" t="inlineStr"/>
      <c r="I61" s="7" t="inlineStr"/>
      <c r="J61" s="7" t="inlineStr"/>
      <c r="K61" s="7" t="inlineStr"/>
      <c r="L61" s="7" t="inlineStr"/>
      <c r="M61" s="7" t="inlineStr"/>
      <c r="N61" s="7" t="inlineStr"/>
      <c r="O61" s="7" t="inlineStr"/>
      <c r="P61" s="7" t="inlineStr"/>
      <c r="Q61" s="7" t="inlineStr"/>
      <c r="R61" s="6" t="inlineStr"/>
      <c r="S61" s="6" t="inlineStr">
        <is>
          <t>connections.md:7; context/about-business.md:5</t>
        </is>
      </c>
      <c r="T61" s="6" t="inlineStr">
        <is>
          <t>INFERRED - no source names an owner. Shopify is registered as the revenue connection and named as the primary DTC revenue track, but no skill assigns ownership or a gate. A defaults to AB.</t>
        </is>
      </c>
    </row>
    <row r="62">
      <c r="A62" s="5" t="inlineStr">
        <is>
          <t>Ecommerce &amp; DTC</t>
        </is>
      </c>
      <c r="B62" s="6" t="inlineStr">
        <is>
          <t>Daily DTC fulfillment KPIs and the SJ Shipping Dashboard</t>
        </is>
      </c>
      <c r="C62" s="7" t="inlineStr"/>
      <c r="D62" s="7" t="inlineStr"/>
      <c r="E62" s="7" t="inlineStr">
        <is>
          <t>C</t>
        </is>
      </c>
      <c r="F62" s="9" t="inlineStr">
        <is>
          <t>A/R</t>
        </is>
      </c>
      <c r="G62" s="7" t="inlineStr">
        <is>
          <t>-&gt;</t>
        </is>
      </c>
      <c r="H62" s="7" t="inlineStr"/>
      <c r="I62" s="7" t="inlineStr"/>
      <c r="J62" s="7" t="inlineStr"/>
      <c r="K62" s="7" t="inlineStr"/>
      <c r="L62" s="7" t="inlineStr"/>
      <c r="M62" s="7" t="inlineStr"/>
      <c r="N62" s="7" t="inlineStr"/>
      <c r="O62" s="7" t="inlineStr"/>
      <c r="P62" s="7" t="inlineStr"/>
      <c r="Q62" s="7" t="inlineStr"/>
      <c r="R62" s="6" t="inlineStr">
        <is>
          <t>Operations Specialist</t>
        </is>
      </c>
      <c r="S62" s="6" t="inlineStr">
        <is>
          <t>.claude/skills/oc3pl-order-manager/SKILL.md:61,191; .claude/skills/ayesha-weekly-briefing/SKILL.md:123</t>
        </is>
      </c>
      <c r="T62" s="6" t="inlineStr">
        <is>
          <t>Ex-Ops-Coordinator scope, now Nicole per the interim split. A and R both NI.</t>
        </is>
      </c>
    </row>
    <row r="63">
      <c r="A63" s="5" t="inlineStr">
        <is>
          <t>Ecommerce &amp; DTC</t>
        </is>
      </c>
      <c r="B63" s="6" t="inlineStr">
        <is>
          <t>Channel operations and promo setup across DTC, UBM and Amazon</t>
        </is>
      </c>
      <c r="C63" s="7" t="inlineStr"/>
      <c r="D63" s="7" t="inlineStr">
        <is>
          <t>I</t>
        </is>
      </c>
      <c r="E63" s="8" t="inlineStr">
        <is>
          <t>R</t>
        </is>
      </c>
      <c r="F63" s="9" t="inlineStr">
        <is>
          <t>A</t>
        </is>
      </c>
      <c r="G63" s="7" t="inlineStr">
        <is>
          <t>-&gt;</t>
        </is>
      </c>
      <c r="H63" s="7" t="inlineStr"/>
      <c r="I63" s="7" t="inlineStr">
        <is>
          <t>C</t>
        </is>
      </c>
      <c r="J63" s="7" t="inlineStr">
        <is>
          <t>C</t>
        </is>
      </c>
      <c r="K63" s="7" t="inlineStr"/>
      <c r="L63" s="7" t="inlineStr"/>
      <c r="M63" s="7" t="inlineStr"/>
      <c r="N63" s="7" t="inlineStr"/>
      <c r="O63" s="7" t="inlineStr"/>
      <c r="P63" s="7" t="inlineStr"/>
      <c r="Q63" s="7" t="inlineStr"/>
      <c r="R63" s="6" t="inlineStr">
        <is>
          <t>Operations Specialist</t>
        </is>
      </c>
      <c r="S63" s="6" t="inlineStr">
        <is>
          <t>SharePoint: Sweet July Skin - Operations Specialist - Job Description.docx</t>
        </is>
      </c>
      <c r="T63" s="6" t="inlineStr">
        <is>
          <t>Named in the Ops Specialist JD under Order Management &amp; Channel Operations. Nicole holds the channel relationship.</t>
        </is>
      </c>
    </row>
    <row r="64">
      <c r="A64" s="5" t="inlineStr">
        <is>
          <t>Ecommerce &amp; DTC</t>
        </is>
      </c>
      <c r="B64" s="6" t="inlineStr">
        <is>
          <t>Proactive reships and fulfillment-issue resolution</t>
        </is>
      </c>
      <c r="C64" s="7" t="inlineStr"/>
      <c r="D64" s="7" t="inlineStr"/>
      <c r="E64" s="7" t="inlineStr">
        <is>
          <t>C</t>
        </is>
      </c>
      <c r="F64" s="9" t="inlineStr">
        <is>
          <t>A/R</t>
        </is>
      </c>
      <c r="G64" s="7" t="inlineStr">
        <is>
          <t>-&gt;</t>
        </is>
      </c>
      <c r="H64" s="7" t="inlineStr"/>
      <c r="I64" s="7" t="inlineStr"/>
      <c r="J64" s="7" t="inlineStr"/>
      <c r="K64" s="7" t="inlineStr"/>
      <c r="L64" s="7" t="inlineStr"/>
      <c r="M64" s="7" t="inlineStr"/>
      <c r="N64" s="7" t="inlineStr"/>
      <c r="O64" s="7" t="inlineStr"/>
      <c r="P64" s="7" t="inlineStr"/>
      <c r="Q64" s="7" t="inlineStr"/>
      <c r="R64" s="6" t="inlineStr">
        <is>
          <t>Operations Specialist</t>
        </is>
      </c>
      <c r="S64" s="6" t="inlineStr">
        <is>
          <t>SharePoint: Sweet July Skin - Operations Specialist - Job Description.docx</t>
        </is>
      </c>
      <c r="T64" s="6" t="inlineStr">
        <is>
          <t>JD wording: resolve fulfillment issues "before a customer has to follow up." Sits inside Nicole's interim OC3PL coverage. A and R both NI.</t>
        </is>
      </c>
    </row>
    <row r="65">
      <c r="A65" s="5" t="inlineStr">
        <is>
          <t>Finance</t>
        </is>
      </c>
      <c r="B65" s="6" t="inlineStr">
        <is>
          <t>Margin architecture framework and quarterly portfolio review</t>
        </is>
      </c>
      <c r="C65" s="7" t="inlineStr"/>
      <c r="D65" s="7" t="inlineStr">
        <is>
          <t>C</t>
        </is>
      </c>
      <c r="E65" s="9" t="inlineStr">
        <is>
          <t>A/R</t>
        </is>
      </c>
      <c r="F65" s="7" t="inlineStr">
        <is>
          <t>C</t>
        </is>
      </c>
      <c r="G65" s="7" t="inlineStr"/>
      <c r="H65" s="7" t="inlineStr"/>
      <c r="I65" s="7" t="inlineStr"/>
      <c r="J65" s="7" t="inlineStr"/>
      <c r="K65" s="7" t="inlineStr"/>
      <c r="L65" s="7" t="inlineStr"/>
      <c r="M65" s="7" t="inlineStr"/>
      <c r="N65" s="7" t="inlineStr"/>
      <c r="O65" s="7" t="inlineStr"/>
      <c r="P65" s="7" t="inlineStr"/>
      <c r="Q65" s="7" t="inlineStr"/>
      <c r="R65" s="6" t="inlineStr"/>
      <c r="S65" s="6" t="inlineStr">
        <is>
          <t>.claude/skills/sjs-margin-architect/references/framework.md:209; .claude/skills/sjs-margin-portfolio-review/SKILL.md:1</t>
        </is>
      </c>
      <c r="T65" s="6" t="inlineStr">
        <is>
          <t>Framework reference plus the quarterly portfolio sweep and traffic-light report. A and R both AB.</t>
        </is>
      </c>
    </row>
    <row r="66">
      <c r="A66" s="5" t="inlineStr">
        <is>
          <t>Finance</t>
        </is>
      </c>
      <c r="B66" s="6" t="inlineStr">
        <is>
          <t>Per-SKU margin pressure-test against channel floors</t>
        </is>
      </c>
      <c r="C66" s="7" t="inlineStr"/>
      <c r="D66" s="7" t="inlineStr">
        <is>
          <t>I</t>
        </is>
      </c>
      <c r="E66" s="8" t="inlineStr">
        <is>
          <t>R</t>
        </is>
      </c>
      <c r="F66" s="7" t="inlineStr">
        <is>
          <t>C</t>
        </is>
      </c>
      <c r="G66" s="7" t="inlineStr"/>
      <c r="H66" s="7" t="inlineStr"/>
      <c r="I66" s="7" t="inlineStr">
        <is>
          <t>C</t>
        </is>
      </c>
      <c r="J66" s="7" t="inlineStr"/>
      <c r="K66" s="7" t="inlineStr"/>
      <c r="L66" s="7" t="inlineStr"/>
      <c r="M66" s="7" t="inlineStr"/>
      <c r="N66" s="9" t="inlineStr">
        <is>
          <t>A</t>
        </is>
      </c>
      <c r="O66" s="7" t="inlineStr"/>
      <c r="P66" s="7" t="inlineStr"/>
      <c r="Q66" s="7" t="inlineStr"/>
      <c r="R66" s="6" t="inlineStr"/>
      <c r="S66" s="6" t="inlineStr">
        <is>
          <t>.claude/skills/sjs-margin-pressure-test/SKILL.md:93</t>
        </is>
      </c>
      <c r="T66" s="6" t="inlineStr">
        <is>
          <t>Flagged as Perrine and Soraya's call to ratify, with Alvin on admin, Nicole consulting and Danielle approving.</t>
        </is>
      </c>
    </row>
    <row r="67">
      <c r="A67" s="5" t="inlineStr">
        <is>
          <t>Finance</t>
        </is>
      </c>
      <c r="B67" s="6" t="inlineStr">
        <is>
          <t>Walk-away decision when a SKU breaks its channel floor</t>
        </is>
      </c>
      <c r="C67" s="7" t="inlineStr"/>
      <c r="D67" s="9" t="inlineStr">
        <is>
          <t>A</t>
        </is>
      </c>
      <c r="E67" s="8" t="inlineStr">
        <is>
          <t>R</t>
        </is>
      </c>
      <c r="F67" s="7" t="inlineStr">
        <is>
          <t>C</t>
        </is>
      </c>
      <c r="G67" s="7" t="inlineStr"/>
      <c r="H67" s="7" t="inlineStr"/>
      <c r="I67" s="7" t="inlineStr">
        <is>
          <t>C</t>
        </is>
      </c>
      <c r="J67" s="7" t="inlineStr"/>
      <c r="K67" s="7" t="inlineStr"/>
      <c r="L67" s="7" t="inlineStr"/>
      <c r="M67" s="7" t="inlineStr"/>
      <c r="N67" s="7" t="inlineStr">
        <is>
          <t>C</t>
        </is>
      </c>
      <c r="O67" s="7" t="inlineStr"/>
      <c r="P67" s="7" t="inlineStr"/>
      <c r="Q67" s="7" t="inlineStr"/>
      <c r="R67" s="6" t="inlineStr"/>
      <c r="S67" s="6" t="inlineStr">
        <is>
          <t>.claude/skills/sjs-margin-walk-away/SKILL.md:93,105,118</t>
        </is>
      </c>
      <c r="T67" s="6" t="inlineStr">
        <is>
          <t>Danielle approves on three of the four paths. Alvin carries the work on all four.</t>
        </is>
      </c>
    </row>
    <row r="68">
      <c r="A68" s="5" t="inlineStr">
        <is>
          <t>Finance</t>
        </is>
      </c>
      <c r="B68" s="6" t="inlineStr">
        <is>
          <t>SKU archetype and Standard / Acquisition designation</t>
        </is>
      </c>
      <c r="C68" s="7" t="inlineStr"/>
      <c r="D68" s="7" t="inlineStr">
        <is>
          <t>I</t>
        </is>
      </c>
      <c r="E68" s="8" t="inlineStr">
        <is>
          <t>R</t>
        </is>
      </c>
      <c r="F68" s="7" t="inlineStr">
        <is>
          <t>C</t>
        </is>
      </c>
      <c r="G68" s="7" t="inlineStr"/>
      <c r="H68" s="7" t="inlineStr"/>
      <c r="I68" s="7" t="inlineStr"/>
      <c r="J68" s="7" t="inlineStr"/>
      <c r="K68" s="7" t="inlineStr"/>
      <c r="L68" s="7" t="inlineStr"/>
      <c r="M68" s="7" t="inlineStr"/>
      <c r="N68" s="9" t="inlineStr">
        <is>
          <t>A</t>
        </is>
      </c>
      <c r="O68" s="7" t="inlineStr"/>
      <c r="P68" s="7" t="inlineStr"/>
      <c r="Q68" s="7" t="inlineStr"/>
      <c r="R68" s="6" t="inlineStr"/>
      <c r="S68" s="6" t="inlineStr">
        <is>
          <t>.claude/skills/sjs-margin-walk-away/SKILL.md:78</t>
        </is>
      </c>
      <c r="T68" s="6" t="inlineStr">
        <is>
          <t>Perrine as PD owner with Alvin on PD admin and sourcing; Nicole consults.</t>
        </is>
      </c>
    </row>
    <row r="69">
      <c r="A69" s="5" t="inlineStr">
        <is>
          <t>Finance</t>
        </is>
      </c>
      <c r="B69" s="6" t="inlineStr">
        <is>
          <t>Monthly and quarterly vendor cost rollups</t>
        </is>
      </c>
      <c r="C69" s="7" t="inlineStr"/>
      <c r="D69" s="7" t="inlineStr">
        <is>
          <t>I</t>
        </is>
      </c>
      <c r="E69" s="9" t="inlineStr">
        <is>
          <t>A/R</t>
        </is>
      </c>
      <c r="F69" s="7" t="inlineStr"/>
      <c r="G69" s="7" t="inlineStr"/>
      <c r="H69" s="7" t="inlineStr"/>
      <c r="I69" s="7" t="inlineStr"/>
      <c r="J69" s="7" t="inlineStr"/>
      <c r="K69" s="7" t="inlineStr"/>
      <c r="L69" s="7" t="inlineStr"/>
      <c r="M69" s="7" t="inlineStr"/>
      <c r="N69" s="7" t="inlineStr"/>
      <c r="O69" s="7" t="inlineStr"/>
      <c r="P69" s="7" t="inlineStr">
        <is>
          <t>C</t>
        </is>
      </c>
      <c r="Q69" s="7" t="inlineStr"/>
      <c r="R69" s="6" t="inlineStr"/>
      <c r="S69" s="6" t="inlineStr">
        <is>
          <t>.claude/skills/regulatory-manager/SKILL.md:196; .claude/skills/purchasing-manager/SKILL.md:365; Alvin, 2026-07-31 (external partners)</t>
        </is>
      </c>
      <c r="T69" s="6" t="inlineStr">
        <is>
          <t>regulatory-manager Jobs 8 and 9 read vendor_invoices directly; purchasing-manager has no rollup of its own. A and R both AB. Ironclad consulted - the rollup feeds their books.</t>
        </is>
      </c>
    </row>
    <row r="70">
      <c r="A70" s="5" t="inlineStr">
        <is>
          <t>Finance</t>
        </is>
      </c>
      <c r="B70" s="6" t="inlineStr">
        <is>
          <t>Accounts payable, bookkeeping and payroll</t>
        </is>
      </c>
      <c r="C70" s="7" t="inlineStr"/>
      <c r="D70" s="7" t="inlineStr">
        <is>
          <t>C</t>
        </is>
      </c>
      <c r="E70" s="9" t="inlineStr">
        <is>
          <t>A</t>
        </is>
      </c>
      <c r="F70" s="7" t="inlineStr"/>
      <c r="G70" s="7" t="inlineStr"/>
      <c r="H70" s="7" t="inlineStr"/>
      <c r="I70" s="7" t="inlineStr"/>
      <c r="J70" s="7" t="inlineStr"/>
      <c r="K70" s="7" t="inlineStr"/>
      <c r="L70" s="7" t="inlineStr"/>
      <c r="M70" s="7" t="inlineStr"/>
      <c r="N70" s="7" t="inlineStr"/>
      <c r="O70" s="7" t="inlineStr"/>
      <c r="P70" s="8" t="inlineStr">
        <is>
          <t>R</t>
        </is>
      </c>
      <c r="Q70" s="7" t="inlineStr"/>
      <c r="R70" s="6" t="inlineStr"/>
      <c r="S70" s="6" t="inlineStr">
        <is>
          <t>Alvin, 2026-07-31 (external partners)</t>
        </is>
      </c>
      <c r="T70" s="6" t="inlineStr">
        <is>
          <t>Ironclad Finance runs AP, bookkeeping and payroll; Dan Bender is the contact. Cost-side accountability sits with Operations because the vendor-invoice pipeline and its five approval gates feed it. No longer an unowned function.</t>
        </is>
      </c>
    </row>
    <row r="71">
      <c r="A71" s="5" t="inlineStr">
        <is>
          <t>Finance</t>
        </is>
      </c>
      <c r="B71" s="6" t="inlineStr">
        <is>
          <t>Month-end close and management reporting</t>
        </is>
      </c>
      <c r="C71" s="7" t="inlineStr">
        <is>
          <t>I</t>
        </is>
      </c>
      <c r="D71" s="9" t="inlineStr">
        <is>
          <t>A</t>
        </is>
      </c>
      <c r="E71" s="7" t="inlineStr">
        <is>
          <t>C</t>
        </is>
      </c>
      <c r="F71" s="7" t="inlineStr">
        <is>
          <t>C</t>
        </is>
      </c>
      <c r="G71" s="7" t="inlineStr"/>
      <c r="H71" s="7" t="inlineStr"/>
      <c r="I71" s="7" t="inlineStr"/>
      <c r="J71" s="7" t="inlineStr"/>
      <c r="K71" s="7" t="inlineStr"/>
      <c r="L71" s="7" t="inlineStr"/>
      <c r="M71" s="7" t="inlineStr"/>
      <c r="N71" s="7" t="inlineStr"/>
      <c r="O71" s="7" t="inlineStr"/>
      <c r="P71" s="8" t="inlineStr">
        <is>
          <t>R</t>
        </is>
      </c>
      <c r="Q71" s="7" t="inlineStr"/>
      <c r="R71" s="6" t="inlineStr"/>
      <c r="S71" s="6" t="inlineStr">
        <is>
          <t>Alvin, 2026-07-31 (external partners)</t>
        </is>
      </c>
      <c r="T71" s="6" t="inlineStr">
        <is>
          <t>Ironclad Finance closes the books and produces the reporting; Dan Bender is the contact. Reporting accountability sits with the President.</t>
        </is>
      </c>
    </row>
    <row r="72">
      <c r="A72" s="5" t="inlineStr">
        <is>
          <t>Finance</t>
        </is>
      </c>
      <c r="B72" s="6" t="inlineStr">
        <is>
          <t>Annual budget and forecast consolidation</t>
        </is>
      </c>
      <c r="C72" s="7" t="inlineStr">
        <is>
          <t>I</t>
        </is>
      </c>
      <c r="D72" s="9" t="inlineStr">
        <is>
          <t>A</t>
        </is>
      </c>
      <c r="E72" s="7" t="inlineStr">
        <is>
          <t>C</t>
        </is>
      </c>
      <c r="F72" s="7" t="inlineStr">
        <is>
          <t>C</t>
        </is>
      </c>
      <c r="G72" s="7" t="inlineStr"/>
      <c r="H72" s="7" t="inlineStr"/>
      <c r="I72" s="7" t="inlineStr">
        <is>
          <t>C</t>
        </is>
      </c>
      <c r="J72" s="7" t="inlineStr"/>
      <c r="K72" s="7" t="inlineStr"/>
      <c r="L72" s="7" t="inlineStr"/>
      <c r="M72" s="7" t="inlineStr"/>
      <c r="N72" s="7" t="inlineStr"/>
      <c r="O72" s="7" t="inlineStr"/>
      <c r="P72" s="8" t="inlineStr">
        <is>
          <t>R</t>
        </is>
      </c>
      <c r="Q72" s="7" t="inlineStr"/>
      <c r="R72" s="6" t="inlineStr"/>
      <c r="S72" s="6" t="inlineStr">
        <is>
          <t>Alvin, 2026-07-31 (external partners)</t>
        </is>
      </c>
      <c r="T72" s="6" t="inlineStr">
        <is>
          <t>President answers for the budget. Operations and Consumer Strategy feed the operating and channel assumptions.</t>
        </is>
      </c>
    </row>
    <row r="73">
      <c r="A73" s="5" t="inlineStr">
        <is>
          <t>Finance</t>
        </is>
      </c>
      <c r="B73" s="6" t="inlineStr">
        <is>
          <t>Inventory valuation and cost of goods</t>
        </is>
      </c>
      <c r="C73" s="7" t="inlineStr"/>
      <c r="D73" s="7" t="inlineStr">
        <is>
          <t>I</t>
        </is>
      </c>
      <c r="E73" s="9" t="inlineStr">
        <is>
          <t>A</t>
        </is>
      </c>
      <c r="F73" s="7" t="inlineStr">
        <is>
          <t>C</t>
        </is>
      </c>
      <c r="G73" s="7" t="inlineStr"/>
      <c r="H73" s="7" t="inlineStr"/>
      <c r="I73" s="7" t="inlineStr"/>
      <c r="J73" s="7" t="inlineStr"/>
      <c r="K73" s="7" t="inlineStr"/>
      <c r="L73" s="7" t="inlineStr"/>
      <c r="M73" s="7" t="inlineStr"/>
      <c r="N73" s="7" t="inlineStr">
        <is>
          <t>C</t>
        </is>
      </c>
      <c r="O73" s="7" t="inlineStr"/>
      <c r="P73" s="8" t="inlineStr">
        <is>
          <t>R</t>
        </is>
      </c>
      <c r="Q73" s="7" t="inlineStr"/>
      <c r="R73" s="6" t="inlineStr"/>
      <c r="S73" s="6" t="inlineStr">
        <is>
          <t>Alvin, 2026-07-31 (external partners); .claude/skills/inventory-manager/SKILL.md:18</t>
        </is>
      </c>
      <c r="T73" s="6" t="inlineStr">
        <is>
          <t>Cost side, so accountability sits with Operations - it flows out of purchasing, receiving and the inventory ledger. Ironclad carries it into the books.</t>
        </is>
      </c>
    </row>
    <row r="74">
      <c r="A74" s="5" t="inlineStr">
        <is>
          <t>People &amp; Admin</t>
        </is>
      </c>
      <c r="B74" s="6" t="inlineStr">
        <is>
          <t>Hiring the Operations Specialist and the PD Project Manager Specialist</t>
        </is>
      </c>
      <c r="C74" s="7" t="inlineStr">
        <is>
          <t>I</t>
        </is>
      </c>
      <c r="D74" s="7" t="inlineStr">
        <is>
          <t>C</t>
        </is>
      </c>
      <c r="E74" s="9" t="inlineStr">
        <is>
          <t>A</t>
        </is>
      </c>
      <c r="F74" s="8" t="inlineStr">
        <is>
          <t>R</t>
        </is>
      </c>
      <c r="G74" s="7" t="inlineStr"/>
      <c r="H74" s="7" t="inlineStr"/>
      <c r="I74" s="7" t="inlineStr"/>
      <c r="J74" s="7" t="inlineStr"/>
      <c r="K74" s="7" t="inlineStr"/>
      <c r="L74" s="7" t="inlineStr"/>
      <c r="M74" s="7" t="inlineStr"/>
      <c r="N74" s="7" t="inlineStr"/>
      <c r="O74" s="7" t="inlineStr"/>
      <c r="P74" s="7" t="inlineStr"/>
      <c r="Q74" s="7" t="inlineStr">
        <is>
          <t>C</t>
        </is>
      </c>
      <c r="R74" s="6" t="inlineStr"/>
      <c r="S74" s="6" t="inlineStr">
        <is>
          <t>decisions/log.md:52,58; context/priorities.md:3; Alvin, 2026-07-31 (external partners)</t>
        </is>
      </c>
      <c r="T74" s="6" t="inlineStr">
        <is>
          <t>Both new roles report to Nicole. Decision owner recorded as Alvin, with Nicole on the two new roles once filled. Priority 1 of 2 this quarter. Calm HR runs the recruiting process once the RACI clears Danielle.</t>
        </is>
      </c>
    </row>
    <row r="75">
      <c r="A75" s="5" t="inlineStr">
        <is>
          <t>People &amp; Admin</t>
        </is>
      </c>
      <c r="B75" s="6" t="inlineStr">
        <is>
          <t>Tool procurement, vendor renewals and shared-folder admin</t>
        </is>
      </c>
      <c r="C75" s="7" t="inlineStr"/>
      <c r="D75" s="7" t="inlineStr"/>
      <c r="E75" s="9" t="inlineStr">
        <is>
          <t>A/R</t>
        </is>
      </c>
      <c r="F75" s="7" t="inlineStr">
        <is>
          <t>C</t>
        </is>
      </c>
      <c r="G75" s="7" t="inlineStr"/>
      <c r="H75" s="7" t="inlineStr"/>
      <c r="I75" s="7" t="inlineStr"/>
      <c r="J75" s="7" t="inlineStr"/>
      <c r="K75" s="7" t="inlineStr"/>
      <c r="L75" s="7" t="inlineStr">
        <is>
          <t>C</t>
        </is>
      </c>
      <c r="M75" s="7" t="inlineStr"/>
      <c r="N75" s="7" t="inlineStr"/>
      <c r="O75" s="7" t="inlineStr"/>
      <c r="P75" s="7" t="inlineStr"/>
      <c r="Q75" s="7" t="inlineStr"/>
      <c r="R75" s="6" t="inlineStr"/>
      <c r="S75" s="6" t="inlineStr">
        <is>
          <t>.claude/skills/sjs-comp-intel/references/team-ownership.md:50; .claude/skills/sjs-comp-intel/references/sequencing-plan.md:12</t>
        </is>
      </c>
      <c r="T75" s="6" t="inlineStr">
        <is>
          <t>Ex-Ops-Coordinator scope. Alvin carries it directly until the Operations Specialist starts. A and R both AB.</t>
        </is>
      </c>
    </row>
    <row r="76">
      <c r="A76" s="5" t="inlineStr">
        <is>
          <t>People &amp; Admin</t>
        </is>
      </c>
      <c r="B76" s="6" t="inlineStr">
        <is>
          <t>Employee onboarding, offboarding and access deprovisioning</t>
        </is>
      </c>
      <c r="C76" s="7" t="inlineStr"/>
      <c r="D76" s="7" t="inlineStr">
        <is>
          <t>C</t>
        </is>
      </c>
      <c r="E76" s="9" t="inlineStr">
        <is>
          <t>A</t>
        </is>
      </c>
      <c r="F76" s="7" t="inlineStr">
        <is>
          <t>C</t>
        </is>
      </c>
      <c r="G76" s="7" t="inlineStr"/>
      <c r="H76" s="7" t="inlineStr"/>
      <c r="I76" s="7" t="inlineStr"/>
      <c r="J76" s="7" t="inlineStr"/>
      <c r="K76" s="7" t="inlineStr"/>
      <c r="L76" s="7" t="inlineStr"/>
      <c r="M76" s="7" t="inlineStr"/>
      <c r="N76" s="7" t="inlineStr"/>
      <c r="O76" s="7" t="inlineStr"/>
      <c r="P76" s="7" t="inlineStr"/>
      <c r="Q76" s="8" t="inlineStr">
        <is>
          <t>R</t>
        </is>
      </c>
      <c r="R76" s="6" t="inlineStr"/>
      <c r="S76" s="6" t="inlineStr">
        <is>
          <t>.claude/skills/asana-pd-manager/references/role-map.md:48-56; Alvin, 2026-07-31 (external partners)</t>
        </is>
      </c>
      <c r="T76" s="6" t="inlineStr">
        <is>
          <t>Calm HR is the PEO and co-employer and runs the process; Alvin is the liaison and answers for it. Danielle consulted. No longer an unowned function - the departed-role-holder checklist in the PD role-map remains the internal system-side counterpart.</t>
        </is>
      </c>
    </row>
    <row r="77">
      <c r="A77" s="5" t="inlineStr">
        <is>
          <t>People &amp; Admin</t>
        </is>
      </c>
      <c r="B77" s="6" t="inlineStr">
        <is>
          <t>Operations Specialist recruiting</t>
        </is>
      </c>
      <c r="C77" s="7" t="inlineStr">
        <is>
          <t>I</t>
        </is>
      </c>
      <c r="D77" s="7" t="inlineStr">
        <is>
          <t>C</t>
        </is>
      </c>
      <c r="E77" s="9" t="inlineStr">
        <is>
          <t>A</t>
        </is>
      </c>
      <c r="F77" s="8" t="inlineStr">
        <is>
          <t>R</t>
        </is>
      </c>
      <c r="G77" s="7" t="inlineStr"/>
      <c r="H77" s="7" t="inlineStr"/>
      <c r="I77" s="7" t="inlineStr"/>
      <c r="J77" s="7" t="inlineStr"/>
      <c r="K77" s="7" t="inlineStr"/>
      <c r="L77" s="7" t="inlineStr"/>
      <c r="M77" s="7" t="inlineStr"/>
      <c r="N77" s="7" t="inlineStr"/>
      <c r="O77" s="7" t="inlineStr"/>
      <c r="P77" s="7" t="inlineStr"/>
      <c r="Q77" s="7" t="inlineStr"/>
      <c r="R77" s="6" t="inlineStr"/>
      <c r="S77" s="6" t="inlineStr">
        <is>
          <t>Leadership Business Review 2026-07-30 52:48-53:17; Email to Danielle 2026-07-27 'Proposed Ops Positions'</t>
        </is>
      </c>
      <c r="T77" s="6" t="inlineStr">
        <is>
          <t>Prioritized first. Danielle: "we're going to prioritize the operations... Specialist." Reports to Nicole. Target in place before Q4. Salary band $72-90K.</t>
        </is>
      </c>
    </row>
    <row r="78">
      <c r="A78" s="5" t="inlineStr">
        <is>
          <t>People &amp; Admin</t>
        </is>
      </c>
      <c r="B78" s="6" t="inlineStr">
        <is>
          <t>PD Specialist role definition and phased recruiting</t>
        </is>
      </c>
      <c r="C78" s="7" t="inlineStr">
        <is>
          <t>I</t>
        </is>
      </c>
      <c r="D78" s="7" t="inlineStr">
        <is>
          <t>C</t>
        </is>
      </c>
      <c r="E78" s="9" t="inlineStr">
        <is>
          <t>A</t>
        </is>
      </c>
      <c r="F78" s="8" t="inlineStr">
        <is>
          <t>R</t>
        </is>
      </c>
      <c r="G78" s="7" t="inlineStr"/>
      <c r="H78" s="7" t="inlineStr"/>
      <c r="I78" s="7" t="inlineStr"/>
      <c r="J78" s="7" t="inlineStr"/>
      <c r="K78" s="7" t="inlineStr"/>
      <c r="L78" s="7" t="inlineStr"/>
      <c r="M78" s="7" t="inlineStr"/>
      <c r="N78" s="7" t="inlineStr"/>
      <c r="O78" s="7" t="inlineStr"/>
      <c r="P78" s="7" t="inlineStr"/>
      <c r="Q78" s="7" t="inlineStr"/>
      <c r="R78" s="6" t="inlineStr"/>
      <c r="S78" s="6" t="inlineStr">
        <is>
          <t>Leadership Business Review 2026-07-30 53:17-57:10; Email to Danielle 2026-07-27 'Proposed Ops Positions'</t>
        </is>
      </c>
      <c r="T78" s="6" t="inlineStr">
        <is>
          <t>Phased in after the Ops Specialist. Danielle scopes it as "air traffic control, holding people accountable" rather than strategy or ideation, and is adding trend-forecasting language to the JD. Reports to Nicole. Salary band $75-95K.</t>
        </is>
      </c>
    </row>
    <row r="79">
      <c r="A79" s="5" t="inlineStr">
        <is>
          <t>People &amp; Admin</t>
        </is>
      </c>
      <c r="B79" s="6" t="inlineStr">
        <is>
          <t>SOP cleanup and operational prep before new-hire onboarding</t>
        </is>
      </c>
      <c r="C79" s="7" t="inlineStr"/>
      <c r="D79" s="7" t="inlineStr">
        <is>
          <t>I</t>
        </is>
      </c>
      <c r="E79" s="9" t="inlineStr">
        <is>
          <t>A</t>
        </is>
      </c>
      <c r="F79" s="8" t="inlineStr">
        <is>
          <t>R</t>
        </is>
      </c>
      <c r="G79" s="7" t="inlineStr"/>
      <c r="H79" s="7" t="inlineStr"/>
      <c r="I79" s="7" t="inlineStr"/>
      <c r="J79" s="7" t="inlineStr"/>
      <c r="K79" s="7" t="inlineStr"/>
      <c r="L79" s="7" t="inlineStr"/>
      <c r="M79" s="7" t="inlineStr"/>
      <c r="N79" s="7" t="inlineStr"/>
      <c r="O79" s="7" t="inlineStr"/>
      <c r="P79" s="7" t="inlineStr"/>
      <c r="Q79" s="7" t="inlineStr"/>
      <c r="R79" s="6" t="inlineStr"/>
      <c r="S79" s="6" t="inlineStr">
        <is>
          <t>Leadership Business Review 2026-07-30 54:24-55:43, 1:00:32</t>
        </is>
      </c>
      <c r="T79" s="6" t="inlineStr">
        <is>
          <t>Danielle's condition on the hire: clean up the system first so the role can function. Nicole's action item from the review.</t>
        </is>
      </c>
    </row>
    <row r="80">
      <c r="A80" s="5" t="inlineStr">
        <is>
          <t>People &amp; Admin</t>
        </is>
      </c>
      <c r="B80" s="6" t="inlineStr">
        <is>
          <t>Employee handbook and HR policy</t>
        </is>
      </c>
      <c r="C80" s="7" t="inlineStr">
        <is>
          <t>I</t>
        </is>
      </c>
      <c r="D80" s="7" t="inlineStr">
        <is>
          <t>C</t>
        </is>
      </c>
      <c r="E80" s="9" t="inlineStr">
        <is>
          <t>A</t>
        </is>
      </c>
      <c r="F80" s="7" t="inlineStr">
        <is>
          <t>I</t>
        </is>
      </c>
      <c r="G80" s="7" t="inlineStr"/>
      <c r="H80" s="7" t="inlineStr"/>
      <c r="I80" s="7" t="inlineStr"/>
      <c r="J80" s="7" t="inlineStr"/>
      <c r="K80" s="7" t="inlineStr"/>
      <c r="L80" s="7" t="inlineStr"/>
      <c r="M80" s="7" t="inlineStr"/>
      <c r="N80" s="7" t="inlineStr"/>
      <c r="O80" s="7" t="inlineStr"/>
      <c r="P80" s="7" t="inlineStr"/>
      <c r="Q80" s="8" t="inlineStr">
        <is>
          <t>R</t>
        </is>
      </c>
      <c r="R80" s="6" t="inlineStr"/>
      <c r="S80" s="6" t="inlineStr">
        <is>
          <t>Alvin, 2026-07-31 (external partners)</t>
        </is>
      </c>
      <c r="T80" s="6" t="inlineStr">
        <is>
          <t>Calm HR drafts and maintains; Alvin is the liaison and answers for it; Danielle co-approves. Handbook is in flight as of 2026-07-30 and goes to legal review before implementation.</t>
        </is>
      </c>
    </row>
    <row r="81">
      <c r="A81" s="5" t="inlineStr">
        <is>
          <t>People &amp; Admin</t>
        </is>
      </c>
      <c r="B81" s="6" t="inlineStr">
        <is>
          <t>Benefits administration and payroll processing</t>
        </is>
      </c>
      <c r="C81" s="7" t="inlineStr"/>
      <c r="D81" s="7" t="inlineStr">
        <is>
          <t>C</t>
        </is>
      </c>
      <c r="E81" s="9" t="inlineStr">
        <is>
          <t>A</t>
        </is>
      </c>
      <c r="F81" s="7" t="inlineStr"/>
      <c r="G81" s="7" t="inlineStr"/>
      <c r="H81" s="7" t="inlineStr"/>
      <c r="I81" s="7" t="inlineStr"/>
      <c r="J81" s="7" t="inlineStr"/>
      <c r="K81" s="7" t="inlineStr"/>
      <c r="L81" s="7" t="inlineStr"/>
      <c r="M81" s="7" t="inlineStr"/>
      <c r="N81" s="7" t="inlineStr"/>
      <c r="O81" s="7" t="inlineStr"/>
      <c r="P81" s="7" t="inlineStr">
        <is>
          <t>C</t>
        </is>
      </c>
      <c r="Q81" s="8" t="inlineStr">
        <is>
          <t>R</t>
        </is>
      </c>
      <c r="R81" s="6" t="inlineStr"/>
      <c r="S81" s="6" t="inlineStr">
        <is>
          <t>Alvin, 2026-07-31 (external partners)</t>
        </is>
      </c>
      <c r="T81" s="6" t="inlineStr">
        <is>
          <t>Calm HR administers as co-employer. Ironclad consulted where payroll hits the books.</t>
        </is>
      </c>
    </row>
    <row r="82">
      <c r="A82" s="5" t="inlineStr">
        <is>
          <t>People &amp; Admin</t>
        </is>
      </c>
      <c r="B82" s="6" t="inlineStr">
        <is>
          <t>Employment compliance and separations</t>
        </is>
      </c>
      <c r="C82" s="7" t="inlineStr"/>
      <c r="D82" s="7" t="inlineStr">
        <is>
          <t>C</t>
        </is>
      </c>
      <c r="E82" s="9" t="inlineStr">
        <is>
          <t>A</t>
        </is>
      </c>
      <c r="F82" s="7" t="inlineStr"/>
      <c r="G82" s="7" t="inlineStr"/>
      <c r="H82" s="7" t="inlineStr"/>
      <c r="I82" s="7" t="inlineStr"/>
      <c r="J82" s="7" t="inlineStr"/>
      <c r="K82" s="7" t="inlineStr"/>
      <c r="L82" s="7" t="inlineStr"/>
      <c r="M82" s="7" t="inlineStr"/>
      <c r="N82" s="7" t="inlineStr"/>
      <c r="O82" s="7" t="inlineStr"/>
      <c r="P82" s="7" t="inlineStr"/>
      <c r="Q82" s="8" t="inlineStr">
        <is>
          <t>R</t>
        </is>
      </c>
      <c r="R82" s="6" t="inlineStr"/>
      <c r="S82" s="6" t="inlineStr">
        <is>
          <t>Alvin, 2026-07-31 (external partners)</t>
        </is>
      </c>
      <c r="T82" s="6" t="inlineStr">
        <is>
          <t>Calm HR runs the process with outside counsel where needed. Danielle co-approves every separation.</t>
        </is>
      </c>
    </row>
    <row r="83">
      <c r="A83" s="5" t="inlineStr">
        <is>
          <t>IT / Systems &amp; Data</t>
        </is>
      </c>
      <c r="B83" s="6" t="inlineStr">
        <is>
          <t>PLM schema, write path, audit log and Supabase wiki custody</t>
        </is>
      </c>
      <c r="C83" s="7" t="inlineStr"/>
      <c r="D83" s="7" t="inlineStr"/>
      <c r="E83" s="9" t="inlineStr">
        <is>
          <t>A/R</t>
        </is>
      </c>
      <c r="F83" s="7" t="inlineStr"/>
      <c r="G83" s="7" t="inlineStr"/>
      <c r="H83" s="7" t="inlineStr"/>
      <c r="I83" s="7" t="inlineStr"/>
      <c r="J83" s="7" t="inlineStr"/>
      <c r="K83" s="7" t="inlineStr"/>
      <c r="L83" s="7" t="inlineStr"/>
      <c r="M83" s="7" t="inlineStr"/>
      <c r="N83" s="7" t="inlineStr">
        <is>
          <t>C</t>
        </is>
      </c>
      <c r="O83" s="7" t="inlineStr"/>
      <c r="P83" s="7" t="inlineStr"/>
      <c r="Q83" s="7" t="inlineStr"/>
      <c r="R83" s="6" t="inlineStr"/>
      <c r="S83" s="6" t="inlineStr">
        <is>
          <t>.claude/skills/plm-assistant/SKILL.md:292; decisions/wiki-layer-audit-2026-07-29.md:52</t>
        </is>
      </c>
      <c r="T83" s="6" t="inlineStr">
        <is>
          <t>plm-assistant is the sole PLM writer and every write needs Operations sign-off. Job 0 wiki write-back has not fired since 2026-05-26. A and R both AB.</t>
        </is>
      </c>
    </row>
    <row r="84">
      <c r="A84" s="5" t="inlineStr">
        <is>
          <t>IT / Systems &amp; Data</t>
        </is>
      </c>
      <c r="B84" s="6" t="inlineStr">
        <is>
          <t>Landing hub publish and Netlify Function maintenance</t>
        </is>
      </c>
      <c r="C84" s="7" t="inlineStr"/>
      <c r="D84" s="7" t="inlineStr"/>
      <c r="E84" s="9" t="inlineStr">
        <is>
          <t>A/R</t>
        </is>
      </c>
      <c r="F84" s="7" t="inlineStr"/>
      <c r="G84" s="7" t="inlineStr"/>
      <c r="H84" s="7" t="inlineStr"/>
      <c r="I84" s="7" t="inlineStr"/>
      <c r="J84" s="7" t="inlineStr"/>
      <c r="K84" s="7" t="inlineStr"/>
      <c r="L84" s="7" t="inlineStr"/>
      <c r="M84" s="7" t="inlineStr"/>
      <c r="N84" s="7" t="inlineStr"/>
      <c r="O84" s="7" t="inlineStr"/>
      <c r="P84" s="7" t="inlineStr"/>
      <c r="Q84" s="7" t="inlineStr"/>
      <c r="R84" s="6" t="inlineStr"/>
      <c r="S84" s="6" t="inlineStr">
        <is>
          <t>.claude/skills/quality-status-reporter/SKILL.md:34-50; .claude/skills/quality-status-reporter/references/hub-integration.md:85</t>
        </is>
      </c>
      <c r="T84" s="6" t="inlineStr">
        <is>
          <t>All hub writes go through the landing-hub-publish Function behind an Operator gate. Deploy is commit-and-push only, never Netlify CLI. A and R both AB.</t>
        </is>
      </c>
    </row>
    <row r="85">
      <c r="A85" s="5" t="inlineStr">
        <is>
          <t>IT / Systems &amp; Data</t>
        </is>
      </c>
      <c r="B85" s="6" t="inlineStr">
        <is>
          <t>Asana project, section, custom-field and connector configuration</t>
        </is>
      </c>
      <c r="C85" s="7" t="inlineStr"/>
      <c r="D85" s="7" t="inlineStr"/>
      <c r="E85" s="9" t="inlineStr">
        <is>
          <t>A/R</t>
        </is>
      </c>
      <c r="F85" s="7" t="inlineStr">
        <is>
          <t>C</t>
        </is>
      </c>
      <c r="G85" s="7" t="inlineStr"/>
      <c r="H85" s="7" t="inlineStr"/>
      <c r="I85" s="7" t="inlineStr"/>
      <c r="J85" s="7" t="inlineStr"/>
      <c r="K85" s="7" t="inlineStr"/>
      <c r="L85" s="7" t="inlineStr"/>
      <c r="M85" s="7" t="inlineStr"/>
      <c r="N85" s="7" t="inlineStr"/>
      <c r="O85" s="7" t="inlineStr"/>
      <c r="P85" s="7" t="inlineStr"/>
      <c r="Q85" s="7" t="inlineStr"/>
      <c r="R85" s="6" t="inlineStr"/>
      <c r="S85" s="6" t="inlineStr">
        <is>
          <t>references/architecture/asana_task_contract.md:227; connections.md:5-13</t>
        </is>
      </c>
      <c r="T85" s="6" t="inlineStr">
        <is>
          <t>An unresolvable role-holder is surfaced for Alvin to decide, not dropped. Seven tool domains registered; iMessage still not connected. A and R both AB.</t>
        </is>
      </c>
    </row>
    <row r="86">
      <c r="A86" s="5" t="inlineStr">
        <is>
          <t>IT / Systems &amp; Data</t>
        </is>
      </c>
      <c r="B86" s="6" t="inlineStr">
        <is>
          <t>Skill suite authorship, audit and versioning</t>
        </is>
      </c>
      <c r="C86" s="7" t="inlineStr"/>
      <c r="D86" s="7" t="inlineStr"/>
      <c r="E86" s="9" t="inlineStr">
        <is>
          <t>A/R</t>
        </is>
      </c>
      <c r="F86" s="7" t="inlineStr"/>
      <c r="G86" s="7" t="inlineStr"/>
      <c r="H86" s="7" t="inlineStr"/>
      <c r="I86" s="7" t="inlineStr"/>
      <c r="J86" s="7" t="inlineStr"/>
      <c r="K86" s="7" t="inlineStr"/>
      <c r="L86" s="7" t="inlineStr"/>
      <c r="M86" s="7" t="inlineStr"/>
      <c r="N86" s="7" t="inlineStr"/>
      <c r="O86" s="7" t="inlineStr"/>
      <c r="P86" s="7" t="inlineStr"/>
      <c r="Q86" s="7" t="inlineStr"/>
      <c r="R86" s="6" t="inlineStr"/>
      <c r="S86" s="6" t="inlineStr">
        <is>
          <t>decisions/skills-architecture-tracker.md:4; decisions/log.md:31,45</t>
        </is>
      </c>
      <c r="T86" s="6" t="inlineStr">
        <is>
          <t>Owner recorded as Alvin Belt across the architecture decisions. Priority 2 of 2 this quarter. A and R both AB.</t>
        </is>
      </c>
    </row>
    <row r="87">
      <c r="A87" s="5" t="inlineStr">
        <is>
          <t>IT / Systems &amp; Data</t>
        </is>
      </c>
      <c r="B87" s="6" t="inlineStr">
        <is>
          <t>The 23 scheduled Routines and their HITL gates</t>
        </is>
      </c>
      <c r="C87" s="7" t="inlineStr"/>
      <c r="D87" s="7" t="inlineStr"/>
      <c r="E87" s="9" t="inlineStr">
        <is>
          <t>A/R</t>
        </is>
      </c>
      <c r="F87" s="7" t="inlineStr">
        <is>
          <t>I</t>
        </is>
      </c>
      <c r="G87" s="7" t="inlineStr"/>
      <c r="H87" s="7" t="inlineStr"/>
      <c r="I87" s="7" t="inlineStr"/>
      <c r="J87" s="7" t="inlineStr"/>
      <c r="K87" s="7" t="inlineStr"/>
      <c r="L87" s="7" t="inlineStr"/>
      <c r="M87" s="7" t="inlineStr"/>
      <c r="N87" s="7" t="inlineStr"/>
      <c r="O87" s="7" t="inlineStr"/>
      <c r="P87" s="7" t="inlineStr"/>
      <c r="Q87" s="7" t="inlineStr"/>
      <c r="R87" s="6" t="inlineStr"/>
      <c r="S87" s="6" t="inlineStr">
        <is>
          <t>scheduled-prompts/weekly-pd-update.md:91; scheduled-prompts/sjs-purchasing-monthly-rollup-and-snapshot.md:79</t>
        </is>
      </c>
      <c r="T87" s="6" t="inlineStr">
        <is>
          <t>Nothing commits until Alvin says go. Same pattern across all 23 Routines, including the ones that fire unattended on a schedule. A and R both AB.</t>
        </is>
      </c>
    </row>
    <row r="88">
      <c r="A88" s="5" t="inlineStr">
        <is>
          <t>IT / Systems &amp; Data</t>
        </is>
      </c>
      <c r="B88" s="6" t="inlineStr">
        <is>
          <t>RACI and role framework across Operations and PD</t>
        </is>
      </c>
      <c r="C88" s="7" t="inlineStr"/>
      <c r="D88" s="7" t="inlineStr">
        <is>
          <t>C</t>
        </is>
      </c>
      <c r="E88" s="9" t="inlineStr">
        <is>
          <t>A</t>
        </is>
      </c>
      <c r="F88" s="8" t="inlineStr">
        <is>
          <t>R</t>
        </is>
      </c>
      <c r="G88" s="7" t="inlineStr"/>
      <c r="H88" s="7" t="inlineStr"/>
      <c r="I88" s="7" t="inlineStr"/>
      <c r="J88" s="7" t="inlineStr"/>
      <c r="K88" s="7" t="inlineStr"/>
      <c r="L88" s="7" t="inlineStr"/>
      <c r="M88" s="7" t="inlineStr"/>
      <c r="N88" s="7" t="inlineStr"/>
      <c r="O88" s="7" t="inlineStr"/>
      <c r="P88" s="7" t="inlineStr"/>
      <c r="Q88" s="7" t="inlineStr"/>
      <c r="R88" s="6" t="inlineStr"/>
      <c r="S88" s="6" t="inlineStr">
        <is>
          <t>Leadership Business Review 2026-07-30 52:12-52:39</t>
        </is>
      </c>
      <c r="T88" s="6" t="inlineStr">
        <is>
          <t>Alvin owns the framework, built with Nicole in the builder session, then to Danielle for final review before it goes to Calm HR to start recruiting.</t>
        </is>
      </c>
    </row>
    <row r="90">
      <c r="A90" s="10" t="inlineStr">
        <is>
          <t>Legend</t>
        </is>
      </c>
    </row>
    <row r="91">
      <c r="A91" s="11" t="n"/>
      <c r="B91" s="12" t="inlineStr">
        <is>
          <t>A = answers for the outcome (exactly one per row)</t>
        </is>
      </c>
    </row>
    <row r="92">
      <c r="A92" s="13" t="n"/>
      <c r="B92" s="12" t="inlineStr">
        <is>
          <t>R = does the work (exactly one per row)</t>
        </is>
      </c>
    </row>
    <row r="93">
      <c r="A93" s="11" t="n"/>
      <c r="B93" s="12" t="inlineStr">
        <is>
          <t>A/R = the same person holds both, so the row has no second pair of eyes</t>
        </is>
      </c>
    </row>
    <row r="94">
      <c r="B94" s="12" t="inlineStr">
        <is>
          <t>C = consulted before the decision</t>
        </is>
      </c>
    </row>
    <row r="95">
      <c r="B95" s="12" t="inlineStr">
        <is>
          <t>I = informed after it</t>
        </is>
      </c>
    </row>
    <row r="96">
      <c r="B96" s="12" t="inlineStr">
        <is>
          <t>-&gt; = the open seat that absorbs R on hire. Open seats never hold A or R.</t>
        </is>
      </c>
    </row>
    <row r="98">
      <c r="A98" s="10" t="inlineStr">
        <is>
          <t>Positions</t>
        </is>
      </c>
    </row>
    <row r="99">
      <c r="A99" s="14" t="inlineStr">
        <is>
          <t>Code</t>
        </is>
      </c>
      <c r="B99" s="14" t="inlineStr">
        <is>
          <t>Position</t>
        </is>
      </c>
      <c r="C99" s="14" t="inlineStr">
        <is>
          <t>Holder</t>
        </is>
      </c>
      <c r="D99" s="14" t="inlineStr">
        <is>
          <t>Status</t>
        </is>
      </c>
      <c r="E99" s="14" t="inlineStr">
        <is>
          <t>A count</t>
        </is>
      </c>
      <c r="F99" s="14" t="inlineStr">
        <is>
          <t>R count</t>
        </is>
      </c>
      <c r="G99" s="14" t="inlineStr">
        <is>
          <t>Both</t>
        </is>
      </c>
      <c r="H99" s="14" t="inlineStr">
        <is>
          <t>Hands off</t>
        </is>
      </c>
      <c r="I99" s="14" t="inlineStr">
        <is>
          <t>Absorbs</t>
        </is>
      </c>
    </row>
    <row r="100">
      <c r="A100" s="12" t="inlineStr">
        <is>
          <t>AC</t>
        </is>
      </c>
      <c r="B100" s="12" t="inlineStr">
        <is>
          <t>Owner / Founder</t>
        </is>
      </c>
      <c r="C100" s="12" t="inlineStr">
        <is>
          <t>Ayesha Curry</t>
        </is>
      </c>
      <c r="D100" s="12" t="inlineStr">
        <is>
          <t>filled</t>
        </is>
      </c>
      <c r="E100" s="15" t="n">
        <v>1</v>
      </c>
      <c r="F100" s="15" t="n">
        <v>0</v>
      </c>
      <c r="G100" s="15" t="n">
        <v>0</v>
      </c>
      <c r="H100" s="15" t="n">
        <v>0</v>
      </c>
      <c r="I100" s="15" t="n">
        <v>0</v>
      </c>
    </row>
    <row r="101">
      <c r="A101" s="12" t="inlineStr">
        <is>
          <t>DI</t>
        </is>
      </c>
      <c r="B101" s="12" t="inlineStr">
        <is>
          <t>President</t>
        </is>
      </c>
      <c r="C101" s="12" t="inlineStr">
        <is>
          <t>Danielle Iturbe</t>
        </is>
      </c>
      <c r="D101" s="12" t="inlineStr">
        <is>
          <t>filled</t>
        </is>
      </c>
      <c r="E101" s="15" t="n">
        <v>6</v>
      </c>
      <c r="F101" s="15" t="n">
        <v>0</v>
      </c>
      <c r="G101" s="15" t="n">
        <v>0</v>
      </c>
      <c r="H101" s="15" t="n">
        <v>0</v>
      </c>
      <c r="I101" s="15" t="n">
        <v>0</v>
      </c>
    </row>
    <row r="102">
      <c r="A102" s="12" t="inlineStr">
        <is>
          <t>AB</t>
        </is>
      </c>
      <c r="B102" s="12" t="inlineStr">
        <is>
          <t>VP of Operations</t>
        </is>
      </c>
      <c r="C102" s="12" t="inlineStr">
        <is>
          <t>Alvin Belt</t>
        </is>
      </c>
      <c r="D102" s="12" t="inlineStr">
        <is>
          <t>filled</t>
        </is>
      </c>
      <c r="E102" s="15" t="n">
        <v>44</v>
      </c>
      <c r="F102" s="15" t="n">
        <v>55</v>
      </c>
      <c r="G102" s="15" t="n">
        <v>30</v>
      </c>
      <c r="H102" s="15" t="n">
        <v>29</v>
      </c>
      <c r="I102" s="15" t="n">
        <v>0</v>
      </c>
    </row>
    <row r="103">
      <c r="A103" s="12" t="inlineStr">
        <is>
          <t>NI</t>
        </is>
      </c>
      <c r="B103" s="12" t="inlineStr">
        <is>
          <t>Sr. Director, Consumer Strategy &amp; Operations</t>
        </is>
      </c>
      <c r="C103" s="12" t="inlineStr">
        <is>
          <t>Nicole Iturbe</t>
        </is>
      </c>
      <c r="D103" s="12" t="inlineStr">
        <is>
          <t>filled</t>
        </is>
      </c>
      <c r="E103" s="15" t="n">
        <v>21</v>
      </c>
      <c r="F103" s="15" t="n">
        <v>12</v>
      </c>
      <c r="G103" s="15" t="n">
        <v>6</v>
      </c>
      <c r="H103" s="15" t="n">
        <v>3</v>
      </c>
      <c r="I103" s="15" t="n">
        <v>0</v>
      </c>
    </row>
    <row r="104">
      <c r="A104" s="12" t="inlineStr">
        <is>
          <t>OPS</t>
        </is>
      </c>
      <c r="B104" s="12" t="inlineStr">
        <is>
          <t>Operations Specialist</t>
        </is>
      </c>
      <c r="C104" s="12" t="inlineStr">
        <is>
          <t>Open seat</t>
        </is>
      </c>
      <c r="D104" s="16" t="inlineStr">
        <is>
          <t>recruiting</t>
        </is>
      </c>
      <c r="E104" s="15" t="n">
        <v>0</v>
      </c>
      <c r="F104" s="15" t="n">
        <v>0</v>
      </c>
      <c r="G104" s="15" t="n">
        <v>0</v>
      </c>
      <c r="H104" s="15" t="n">
        <v>0</v>
      </c>
      <c r="I104" s="15" t="n">
        <v>16</v>
      </c>
    </row>
    <row r="105">
      <c r="A105" s="12" t="inlineStr">
        <is>
          <t>PDS</t>
        </is>
      </c>
      <c r="B105" s="12" t="inlineStr">
        <is>
          <t>Product Development Specialist</t>
        </is>
      </c>
      <c r="C105" s="12" t="inlineStr">
        <is>
          <t>Open seat</t>
        </is>
      </c>
      <c r="D105" s="16" t="inlineStr">
        <is>
          <t>phased</t>
        </is>
      </c>
      <c r="E105" s="15" t="n">
        <v>0</v>
      </c>
      <c r="F105" s="15" t="n">
        <v>0</v>
      </c>
      <c r="G105" s="15" t="n">
        <v>0</v>
      </c>
      <c r="H105" s="15" t="n">
        <v>0</v>
      </c>
      <c r="I105" s="15" t="n">
        <v>16</v>
      </c>
    </row>
    <row r="106">
      <c r="A106" s="12" t="inlineStr">
        <is>
          <t>SS</t>
        </is>
      </c>
      <c r="B106" s="12" t="inlineStr">
        <is>
          <t>Marketing Manager</t>
        </is>
      </c>
      <c r="C106" s="12" t="inlineStr">
        <is>
          <t>Soraya Salgadoe</t>
        </is>
      </c>
      <c r="D106" s="12" t="inlineStr">
        <is>
          <t>filled</t>
        </is>
      </c>
      <c r="E106" s="15" t="n">
        <v>1</v>
      </c>
      <c r="F106" s="15" t="n">
        <v>3</v>
      </c>
      <c r="G106" s="15" t="n">
        <v>1</v>
      </c>
      <c r="H106" s="15" t="n">
        <v>0</v>
      </c>
      <c r="I106" s="15" t="n">
        <v>0</v>
      </c>
    </row>
    <row r="107">
      <c r="A107" s="12" t="inlineStr">
        <is>
          <t>KL</t>
        </is>
      </c>
      <c r="B107" s="12" t="inlineStr">
        <is>
          <t>Social Media Coordinator</t>
        </is>
      </c>
      <c r="C107" s="12" t="inlineStr">
        <is>
          <t>Kate Le</t>
        </is>
      </c>
      <c r="D107" s="12" t="inlineStr">
        <is>
          <t>filled</t>
        </is>
      </c>
      <c r="E107" s="15" t="n">
        <v>1</v>
      </c>
      <c r="F107" s="15" t="n">
        <v>1</v>
      </c>
      <c r="G107" s="15" t="n">
        <v>1</v>
      </c>
      <c r="H107" s="15" t="n">
        <v>0</v>
      </c>
      <c r="I107" s="15" t="n">
        <v>0</v>
      </c>
    </row>
    <row r="108">
      <c r="A108" s="12" t="inlineStr">
        <is>
          <t>EH</t>
        </is>
      </c>
      <c r="B108" s="12" t="inlineStr">
        <is>
          <t>Creative Director</t>
        </is>
      </c>
      <c r="C108" s="12" t="inlineStr">
        <is>
          <t>Erin Hover</t>
        </is>
      </c>
      <c r="D108" s="12" t="inlineStr">
        <is>
          <t>contractor</t>
        </is>
      </c>
      <c r="E108" s="15" t="n">
        <v>4</v>
      </c>
      <c r="F108" s="15" t="n">
        <v>2</v>
      </c>
      <c r="G108" s="15" t="n">
        <v>1</v>
      </c>
      <c r="H108" s="15" t="n">
        <v>0</v>
      </c>
      <c r="I108" s="15" t="n">
        <v>0</v>
      </c>
    </row>
    <row r="109">
      <c r="A109" s="12" t="inlineStr">
        <is>
          <t>IT</t>
        </is>
      </c>
      <c r="B109" s="12" t="inlineStr">
        <is>
          <t>Creative / Design Coordinator</t>
        </is>
      </c>
      <c r="C109" s="12" t="inlineStr">
        <is>
          <t>Ivy Tan</t>
        </is>
      </c>
      <c r="D109" s="12" t="inlineStr">
        <is>
          <t>filled</t>
        </is>
      </c>
      <c r="E109" s="15" t="n">
        <v>1</v>
      </c>
      <c r="F109" s="15" t="n">
        <v>1</v>
      </c>
      <c r="G109" s="15" t="n">
        <v>1</v>
      </c>
      <c r="H109" s="15" t="n">
        <v>0</v>
      </c>
      <c r="I109" s="15" t="n">
        <v>0</v>
      </c>
    </row>
    <row r="110">
      <c r="A110" s="12" t="inlineStr">
        <is>
          <t>JH</t>
        </is>
      </c>
      <c r="B110" s="12" t="inlineStr">
        <is>
          <t>Packaging Engineer</t>
        </is>
      </c>
      <c r="C110" s="12" t="inlineStr">
        <is>
          <t>Jan Haeck</t>
        </is>
      </c>
      <c r="D110" s="12" t="inlineStr">
        <is>
          <t>contractor</t>
        </is>
      </c>
      <c r="E110" s="15" t="n">
        <v>0</v>
      </c>
      <c r="F110" s="15" t="n">
        <v>2</v>
      </c>
      <c r="G110" s="15" t="n">
        <v>0</v>
      </c>
      <c r="H110" s="15" t="n">
        <v>0</v>
      </c>
      <c r="I110" s="15" t="n">
        <v>0</v>
      </c>
    </row>
    <row r="111">
      <c r="A111" s="12" t="inlineStr">
        <is>
          <t>PC</t>
        </is>
      </c>
      <c r="B111" s="12" t="inlineStr">
        <is>
          <t>PD / R&amp;D contractor, Milinyc</t>
        </is>
      </c>
      <c r="C111" s="12" t="inlineStr">
        <is>
          <t>Perrine Calvet</t>
        </is>
      </c>
      <c r="D111" s="12" t="inlineStr">
        <is>
          <t>contractor</t>
        </is>
      </c>
      <c r="E111" s="15" t="n">
        <v>7</v>
      </c>
      <c r="F111" s="15" t="n">
        <v>2</v>
      </c>
      <c r="G111" s="15" t="n">
        <v>1</v>
      </c>
      <c r="H111" s="15" t="n">
        <v>0</v>
      </c>
      <c r="I111" s="15" t="n">
        <v>0</v>
      </c>
    </row>
    <row r="112">
      <c r="A112" s="12" t="inlineStr">
        <is>
          <t>PR</t>
        </is>
      </c>
      <c r="B112" s="12" t="inlineStr">
        <is>
          <t>External regulatory partner</t>
        </is>
      </c>
      <c r="C112" s="12" t="inlineStr">
        <is>
          <t>Pedrero Regulatory</t>
        </is>
      </c>
      <c r="D112" s="12" t="inlineStr">
        <is>
          <t>partner</t>
        </is>
      </c>
      <c r="E112" s="15" t="n">
        <v>0</v>
      </c>
      <c r="F112" s="15" t="n">
        <v>0</v>
      </c>
      <c r="G112" s="15" t="n">
        <v>0</v>
      </c>
      <c r="H112" s="15" t="n">
        <v>0</v>
      </c>
      <c r="I112" s="15" t="n">
        <v>0</v>
      </c>
    </row>
    <row r="113">
      <c r="A113" s="12" t="inlineStr">
        <is>
          <t>IF</t>
        </is>
      </c>
      <c r="B113" s="12" t="inlineStr">
        <is>
          <t>Outsourced finance (Dan Bender)</t>
        </is>
      </c>
      <c r="C113" s="12" t="inlineStr">
        <is>
          <t>Ironclad Finance</t>
        </is>
      </c>
      <c r="D113" s="12" t="inlineStr">
        <is>
          <t>partner</t>
        </is>
      </c>
      <c r="E113" s="15" t="n">
        <v>0</v>
      </c>
      <c r="F113" s="15" t="n">
        <v>4</v>
      </c>
      <c r="G113" s="15" t="n">
        <v>0</v>
      </c>
      <c r="H113" s="15" t="n">
        <v>0</v>
      </c>
      <c r="I113" s="15" t="n">
        <v>0</v>
      </c>
    </row>
    <row r="114">
      <c r="A114" s="12" t="inlineStr">
        <is>
          <t>CH</t>
        </is>
      </c>
      <c r="B114" s="12" t="inlineStr">
        <is>
          <t>PEO and co-employer</t>
        </is>
      </c>
      <c r="C114" s="12" t="inlineStr">
        <is>
          <t>Calm HR</t>
        </is>
      </c>
      <c r="D114" s="12" t="inlineStr">
        <is>
          <t>partner</t>
        </is>
      </c>
      <c r="E114" s="15" t="n">
        <v>0</v>
      </c>
      <c r="F114" s="15" t="n">
        <v>4</v>
      </c>
      <c r="G114" s="15" t="n">
        <v>0</v>
      </c>
      <c r="H114" s="15" t="n">
        <v>0</v>
      </c>
      <c r="I114" s="15" t="n">
        <v>0</v>
      </c>
    </row>
    <row r="116">
      <c r="A116" s="14" t="inlineStr">
        <is>
          <t>Source of truth</t>
        </is>
      </c>
      <c r="B116" s="17" t="inlineStr">
        <is>
          <t>Rows citing a path are relative to the SJ-OS repo. Rows citing the 30 July leadership review, the 27 July email to Danielle, or a job description come from those documents directly. Rows marked INFERRED in Notes have no owner named in any source; A defaults to Alvin Belt because the work falls there in practice.</t>
        </is>
      </c>
    </row>
  </sheetData>
  <autoFilter ref="A2:T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 Owner / Founder (Ayesha Curry)</t>
        </is>
      </c>
      <c r="B6" s="15">
        <f>COUNTIF(RACI!C3:C88,"A")+COUNTIF(RACI!C3:C88,"A/R")</f>
        <v/>
      </c>
      <c r="C6" s="15">
        <f>COUNTIF(RACI!C3:C88,"R")+COUNTIF(RACI!C3:C88,"A/R")</f>
        <v/>
      </c>
      <c r="D6" s="15">
        <f>COUNTIF(RACI!C3:C88,"A/R")</f>
        <v/>
      </c>
      <c r="E6" s="15" t="n">
        <v>0</v>
      </c>
      <c r="F6" s="15" t="n">
        <v>0</v>
      </c>
      <c r="G6" s="15">
        <f>B6</f>
        <v/>
      </c>
      <c r="H6" s="15">
        <f>C6-E6+F6</f>
        <v/>
      </c>
    </row>
    <row r="7">
      <c r="A7" s="12" t="inlineStr">
        <is>
          <t>DI — President (Danielle Iturbe)</t>
        </is>
      </c>
      <c r="B7" s="15">
        <f>COUNTIF(RACI!D3:D88,"A")+COUNTIF(RACI!D3:D88,"A/R")</f>
        <v/>
      </c>
      <c r="C7" s="15">
        <f>COUNTIF(RACI!D3:D88,"R")+COUNTIF(RACI!D3:D88,"A/R")</f>
        <v/>
      </c>
      <c r="D7" s="15">
        <f>COUNTIF(RACI!D3:D88,"A/R")</f>
        <v/>
      </c>
      <c r="E7" s="15" t="n">
        <v>0</v>
      </c>
      <c r="F7" s="15" t="n">
        <v>0</v>
      </c>
      <c r="G7" s="15">
        <f>B7</f>
        <v/>
      </c>
      <c r="H7" s="15">
        <f>C7-E7+F7</f>
        <v/>
      </c>
    </row>
    <row r="8">
      <c r="A8" s="12" t="inlineStr">
        <is>
          <t>AB — VP of Operations (Alvin Belt)</t>
        </is>
      </c>
      <c r="B8" s="15">
        <f>COUNTIF(RACI!E3:E88,"A")+COUNTIF(RACI!E3:E88,"A/R")</f>
        <v/>
      </c>
      <c r="C8" s="15">
        <f>COUNTIF(RACI!E3:E88,"R")+COUNTIF(RACI!E3:E88,"A/R")</f>
        <v/>
      </c>
      <c r="D8" s="15">
        <f>COUNTIF(RACI!E3:E88,"A/R")</f>
        <v/>
      </c>
      <c r="E8" s="15" t="n">
        <v>29</v>
      </c>
      <c r="F8" s="15" t="n">
        <v>0</v>
      </c>
      <c r="G8" s="15">
        <f>B8</f>
        <v/>
      </c>
      <c r="H8" s="15">
        <f>C8-E8+F8</f>
        <v/>
      </c>
    </row>
    <row r="9">
      <c r="A9" s="12" t="inlineStr">
        <is>
          <t>NI — Sr. Director, Consumer Strategy &amp; Operations (Nicole Iturbe)</t>
        </is>
      </c>
      <c r="B9" s="15">
        <f>COUNTIF(RACI!F3:F88,"A")+COUNTIF(RACI!F3:F88,"A/R")</f>
        <v/>
      </c>
      <c r="C9" s="15">
        <f>COUNTIF(RACI!F3:F88,"R")+COUNTIF(RACI!F3:F88,"A/R")</f>
        <v/>
      </c>
      <c r="D9" s="15">
        <f>COUNTIF(RACI!F3:F88,"A/R")</f>
        <v/>
      </c>
      <c r="E9" s="15" t="n">
        <v>3</v>
      </c>
      <c r="F9" s="15" t="n">
        <v>0</v>
      </c>
      <c r="G9" s="15">
        <f>B9</f>
        <v/>
      </c>
      <c r="H9" s="15">
        <f>C9-E9+F9</f>
        <v/>
      </c>
    </row>
    <row r="10">
      <c r="A10" s="12" t="inlineStr">
        <is>
          <t>OPS — Operations Specialist (Open seat)</t>
        </is>
      </c>
      <c r="B10" s="15">
        <f>COUNTIF(RACI!G3:G88,"A")+COUNTIF(RACI!G3:G88,"A/R")</f>
        <v/>
      </c>
      <c r="C10" s="15">
        <f>COUNTIF(RACI!G3:G88,"R")+COUNTIF(RACI!G3:G88,"A/R")</f>
        <v/>
      </c>
      <c r="D10" s="15">
        <f>COUNTIF(RACI!G3:G88,"A/R")</f>
        <v/>
      </c>
      <c r="E10" s="15" t="n">
        <v>0</v>
      </c>
      <c r="F10" s="15" t="n">
        <v>16</v>
      </c>
      <c r="G10" s="15">
        <f>B10</f>
        <v/>
      </c>
      <c r="H10" s="15">
        <f>C10-E10+F10</f>
        <v/>
      </c>
    </row>
    <row r="11">
      <c r="A11" s="12" t="inlineStr">
        <is>
          <t>PDS — Product Development Specialist (Open seat)</t>
        </is>
      </c>
      <c r="B11" s="15">
        <f>COUNTIF(RACI!H3:H88,"A")+COUNTIF(RACI!H3:H88,"A/R")</f>
        <v/>
      </c>
      <c r="C11" s="15">
        <f>COUNTIF(RACI!H3:H88,"R")+COUNTIF(RACI!H3:H88,"A/R")</f>
        <v/>
      </c>
      <c r="D11" s="15">
        <f>COUNTIF(RACI!H3:H88,"A/R")</f>
        <v/>
      </c>
      <c r="E11" s="15" t="n">
        <v>0</v>
      </c>
      <c r="F11" s="15" t="n">
        <v>16</v>
      </c>
      <c r="G11" s="15">
        <f>B11</f>
        <v/>
      </c>
      <c r="H11" s="15">
        <f>C11-E11+F11</f>
        <v/>
      </c>
    </row>
    <row r="12">
      <c r="A12" s="12" t="inlineStr">
        <is>
          <t>SS — Marketing Manager (Soraya Salgadoe)</t>
        </is>
      </c>
      <c r="B12" s="15">
        <f>COUNTIF(RACI!I3:I88,"A")+COUNTIF(RACI!I3:I88,"A/R")</f>
        <v/>
      </c>
      <c r="C12" s="15">
        <f>COUNTIF(RACI!I3:I88,"R")+COUNTIF(RACI!I3:I88,"A/R")</f>
        <v/>
      </c>
      <c r="D12" s="15">
        <f>COUNTIF(RACI!I3:I88,"A/R")</f>
        <v/>
      </c>
      <c r="E12" s="15" t="n">
        <v>0</v>
      </c>
      <c r="F12" s="15" t="n">
        <v>0</v>
      </c>
      <c r="G12" s="15">
        <f>B12</f>
        <v/>
      </c>
      <c r="H12" s="15">
        <f>C12-E12+F12</f>
        <v/>
      </c>
    </row>
    <row r="13">
      <c r="A13" s="12" t="inlineStr">
        <is>
          <t>KL — Social Media Coordinator (Kate Le)</t>
        </is>
      </c>
      <c r="B13" s="15">
        <f>COUNTIF(RACI!J3:J88,"A")+COUNTIF(RACI!J3:J88,"A/R")</f>
        <v/>
      </c>
      <c r="C13" s="15">
        <f>COUNTIF(RACI!J3:J88,"R")+COUNTIF(RACI!J3:J88,"A/R")</f>
        <v/>
      </c>
      <c r="D13" s="15">
        <f>COUNTIF(RACI!J3:J88,"A/R")</f>
        <v/>
      </c>
      <c r="E13" s="15" t="n">
        <v>0</v>
      </c>
      <c r="F13" s="15" t="n">
        <v>0</v>
      </c>
      <c r="G13" s="15">
        <f>B13</f>
        <v/>
      </c>
      <c r="H13" s="15">
        <f>C13-E13+F13</f>
        <v/>
      </c>
    </row>
    <row r="14">
      <c r="A14" s="12" t="inlineStr">
        <is>
          <t>EH — Creative Director (Erin Hover)</t>
        </is>
      </c>
      <c r="B14" s="15">
        <f>COUNTIF(RACI!K3:K88,"A")+COUNTIF(RACI!K3:K88,"A/R")</f>
        <v/>
      </c>
      <c r="C14" s="15">
        <f>COUNTIF(RACI!K3:K88,"R")+COUNTIF(RACI!K3:K88,"A/R")</f>
        <v/>
      </c>
      <c r="D14" s="15">
        <f>COUNTIF(RACI!K3:K88,"A/R")</f>
        <v/>
      </c>
      <c r="E14" s="15" t="n">
        <v>0</v>
      </c>
      <c r="F14" s="15" t="n">
        <v>0</v>
      </c>
      <c r="G14" s="15">
        <f>B14</f>
        <v/>
      </c>
      <c r="H14" s="15">
        <f>C14-E14+F14</f>
        <v/>
      </c>
    </row>
    <row r="15">
      <c r="A15" s="12" t="inlineStr">
        <is>
          <t>IT — Creative / Design Coordinator (Ivy Tan)</t>
        </is>
      </c>
      <c r="B15" s="15">
        <f>COUNTIF(RACI!L3:L88,"A")+COUNTIF(RACI!L3:L88,"A/R")</f>
        <v/>
      </c>
      <c r="C15" s="15">
        <f>COUNTIF(RACI!L3:L88,"R")+COUNTIF(RACI!L3:L88,"A/R")</f>
        <v/>
      </c>
      <c r="D15" s="15">
        <f>COUNTIF(RACI!L3:L88,"A/R")</f>
        <v/>
      </c>
      <c r="E15" s="15" t="n">
        <v>0</v>
      </c>
      <c r="F15" s="15" t="n">
        <v>0</v>
      </c>
      <c r="G15" s="15">
        <f>B15</f>
        <v/>
      </c>
      <c r="H15" s="15">
        <f>C15-E15+F15</f>
        <v/>
      </c>
    </row>
    <row r="16">
      <c r="A16" s="12" t="inlineStr">
        <is>
          <t>JH — Packaging Engineer (Jan Haeck)</t>
        </is>
      </c>
      <c r="B16" s="15">
        <f>COUNTIF(RACI!M3:M88,"A")+COUNTIF(RACI!M3:M88,"A/R")</f>
        <v/>
      </c>
      <c r="C16" s="15">
        <f>COUNTIF(RACI!M3:M88,"R")+COUNTIF(RACI!M3:M88,"A/R")</f>
        <v/>
      </c>
      <c r="D16" s="15">
        <f>COUNTIF(RACI!M3:M88,"A/R")</f>
        <v/>
      </c>
      <c r="E16" s="15" t="n">
        <v>0</v>
      </c>
      <c r="F16" s="15" t="n">
        <v>0</v>
      </c>
      <c r="G16" s="15">
        <f>B16</f>
        <v/>
      </c>
      <c r="H16" s="15">
        <f>C16-E16+F16</f>
        <v/>
      </c>
    </row>
    <row r="17">
      <c r="A17" s="12" t="inlineStr">
        <is>
          <t>PC — PD / R&amp;D contractor, Milinyc (Perrine Calvet)</t>
        </is>
      </c>
      <c r="B17" s="15">
        <f>COUNTIF(RACI!N3:N88,"A")+COUNTIF(RACI!N3:N88,"A/R")</f>
        <v/>
      </c>
      <c r="C17" s="15">
        <f>COUNTIF(RACI!N3:N88,"R")+COUNTIF(RACI!N3:N88,"A/R")</f>
        <v/>
      </c>
      <c r="D17" s="15">
        <f>COUNTIF(RACI!N3:N88,"A/R")</f>
        <v/>
      </c>
      <c r="E17" s="15" t="n">
        <v>0</v>
      </c>
      <c r="F17" s="15" t="n">
        <v>0</v>
      </c>
      <c r="G17" s="15">
        <f>B17</f>
        <v/>
      </c>
      <c r="H17" s="15">
        <f>C17-E17+F17</f>
        <v/>
      </c>
    </row>
    <row r="18">
      <c r="A18" s="12" t="inlineStr">
        <is>
          <t>PR — External regulatory partner (Pedrero Regulatory)</t>
        </is>
      </c>
      <c r="B18" s="15">
        <f>COUNTIF(RACI!O3:O88,"A")+COUNTIF(RACI!O3:O88,"A/R")</f>
        <v/>
      </c>
      <c r="C18" s="15">
        <f>COUNTIF(RACI!O3:O88,"R")+COUNTIF(RACI!O3:O88,"A/R")</f>
        <v/>
      </c>
      <c r="D18" s="15">
        <f>COUNTIF(RACI!O3:O88,"A/R")</f>
        <v/>
      </c>
      <c r="E18" s="15" t="n">
        <v>0</v>
      </c>
      <c r="F18" s="15" t="n">
        <v>0</v>
      </c>
      <c r="G18" s="15">
        <f>B18</f>
        <v/>
      </c>
      <c r="H18" s="15">
        <f>C18-E18+F18</f>
        <v/>
      </c>
    </row>
    <row r="19">
      <c r="A19" s="12" t="inlineStr">
        <is>
          <t>IF — Outsourced finance (Dan Bender) (Ironclad Finance)</t>
        </is>
      </c>
      <c r="B19" s="15">
        <f>COUNTIF(RACI!P3:P88,"A")+COUNTIF(RACI!P3:P88,"A/R")</f>
        <v/>
      </c>
      <c r="C19" s="15">
        <f>COUNTIF(RACI!P3:P88,"R")+COUNTIF(RACI!P3:P88,"A/R")</f>
        <v/>
      </c>
      <c r="D19" s="15">
        <f>COUNTIF(RACI!P3:P88,"A/R")</f>
        <v/>
      </c>
      <c r="E19" s="15" t="n">
        <v>0</v>
      </c>
      <c r="F19" s="15" t="n">
        <v>0</v>
      </c>
      <c r="G19" s="15">
        <f>B19</f>
        <v/>
      </c>
      <c r="H19" s="15">
        <f>C19-E19+F19</f>
        <v/>
      </c>
    </row>
    <row r="20">
      <c r="A20" s="12" t="inlineStr">
        <is>
          <t>CH — PEO and co-employer (Calm HR)</t>
        </is>
      </c>
      <c r="B20" s="15">
        <f>COUNTIF(RACI!Q3:Q88,"A")+COUNTIF(RACI!Q3:Q88,"A/R")</f>
        <v/>
      </c>
      <c r="C20" s="15">
        <f>COUNTIF(RACI!Q3:Q88,"R")+COUNTIF(RACI!Q3:Q88,"A/R")</f>
        <v/>
      </c>
      <c r="D20" s="15">
        <f>COUNTIF(RACI!Q3:Q88,"A/R")</f>
        <v/>
      </c>
      <c r="E20" s="15" t="n">
        <v>0</v>
      </c>
      <c r="F20" s="15" t="n">
        <v>0</v>
      </c>
      <c r="G20" s="15">
        <f>B20</f>
        <v/>
      </c>
      <c r="H20" s="15">
        <f>C20-E20+F20</f>
        <v/>
      </c>
    </row>
    <row r="21">
      <c r="A21" s="14" t="inlineStr">
        <is>
          <t>Total activities</t>
        </is>
      </c>
      <c r="B21" s="21">
        <f>COUNTA(RACI!B3:B88)</f>
        <v/>
      </c>
    </row>
    <row r="22">
      <c r="A22" t="inlineStr"/>
    </row>
    <row r="23">
      <c r="A23" s="22" t="inlineStr">
        <is>
          <t>"A after" and "R after" project the book once both specialist seats are filled. Hands off counts rows where this position does the work today and an incoming seat takes it. Absorbs counts rows arriving on hire.</t>
        </is>
      </c>
    </row>
    <row r="24">
      <c r="A24" t="inlineStr"/>
    </row>
    <row r="25" ht="15" customHeight="1">
      <c r="A25" s="23" t="inlineStr">
        <is>
          <t>Quality now has a gate, and it is not the VP</t>
        </is>
      </c>
    </row>
    <row r="26">
      <c r="A26" t="inlineStr"/>
    </row>
    <row r="27" ht="78" customHeight="1">
      <c r="A27"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28">
      <c r="A28" t="inlineStr"/>
    </row>
    <row r="29" ht="15" customHeight="1">
      <c r="A29" s="23" t="inlineStr">
        <is>
          <t>Perrine moves to technical guidance</t>
        </is>
      </c>
    </row>
    <row r="30">
      <c r="A30" t="inlineStr"/>
    </row>
    <row r="31" ht="117" customHeight="1">
      <c r="A31"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2">
      <c r="A32" t="inlineStr"/>
    </row>
    <row r="33" ht="15" customHeight="1">
      <c r="A33" s="23" t="inlineStr">
        <is>
          <t>Three contractors hold accountability, and two of them hold it alone</t>
        </is>
      </c>
    </row>
    <row r="34">
      <c r="A34" t="inlineStr"/>
    </row>
    <row r="35" ht="104" customHeight="1">
      <c r="A35"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6">
      <c r="A36" t="inlineStr"/>
    </row>
    <row r="37" ht="15" customHeight="1">
      <c r="A37" s="23" t="inlineStr">
        <is>
          <t>Where the President and the Founder sit</t>
        </is>
      </c>
    </row>
    <row r="38">
      <c r="A38" t="inlineStr"/>
    </row>
    <row r="39" ht="104" customHeight="1">
      <c r="A39" s="17" t="inlineStr">
        <is>
          <t>Danielle Iturbe is accountable for 4 rows - direction-changing PD decisions, the margin walk-away call, brand guideline custody, and campaign direction - and is consulted on 13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40">
      <c r="A40" t="inlineStr"/>
    </row>
    <row r="41" ht="15" customHeight="1">
      <c r="A41" s="23" t="inlineStr">
        <is>
          <t>Alvin owns the framework, and still does most of the work</t>
        </is>
      </c>
    </row>
    <row r="42">
      <c r="A42" t="inlineStr"/>
    </row>
    <row r="43" ht="65" customHeight="1">
      <c r="A43" s="17" t="inlineStr">
        <is>
          <t>Accountable for 44 of 86 activities and doing the work on 55.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44">
      <c r="A44" t="inlineStr"/>
    </row>
    <row r="45" ht="15" customHeight="1">
      <c r="A45" s="23" t="inlineStr">
        <is>
          <t>What the two seats actually move</t>
        </is>
      </c>
    </row>
    <row r="46">
      <c r="A46" t="inlineStr"/>
    </row>
    <row r="47" ht="65" customHeight="1">
      <c r="A47"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48">
      <c r="A48" t="inlineStr"/>
    </row>
    <row r="49" ht="15" customHeight="1">
      <c r="A49" s="23" t="inlineStr">
        <is>
          <t>Ops first is the right order, and the matrix says why</t>
        </is>
      </c>
    </row>
    <row r="50">
      <c r="A50" t="inlineStr"/>
    </row>
    <row r="51" ht="91" customHeight="1">
      <c r="A51"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52">
      <c r="A52" t="inlineStr"/>
    </row>
    <row r="53" ht="15" customHeight="1">
      <c r="A53" s="23" t="inlineStr">
        <is>
          <t>The PD seat is the one that closes the quality loop</t>
        </is>
      </c>
    </row>
    <row r="54">
      <c r="A54" t="inlineStr"/>
    </row>
    <row r="55" ht="104" customHeight="1">
      <c r="A55"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56">
      <c r="A56" t="inlineStr"/>
    </row>
    <row r="57" ht="15" customHeight="1">
      <c r="A57" s="23" t="inlineStr">
        <is>
          <t>Three functions run entirely outside the company</t>
        </is>
      </c>
    </row>
    <row r="58">
      <c r="A58" t="inlineStr"/>
    </row>
    <row r="59" ht="91" customHeight="1">
      <c r="A59" s="17" t="inlineStr">
        <is>
          <t>Regulatory goes through Pedrero Regulatory, Finance through Ironclad (Dan Bender), HR through Calm HR as PEO and co-employer. Adding them resolved two of the three unowned functions - Finance and HR were only unowned because the partners were missing from the matrix, not because nobody was doing the work. Between the three partner organisations and the three contractors on packaging, creative and formulation, six external parties hold the execution of six functions. For a team of nine that is a reasonable shape. What it means is that continuity rests on six engagements rather than on employment, and each is a renewal decision rather than a retention one.</t>
        </is>
      </c>
    </row>
    <row r="60">
      <c r="A60" t="inlineStr"/>
    </row>
    <row r="61" ht="15" customHeight="1">
      <c r="A61" s="23" t="inlineStr">
        <is>
          <t>Regulatory is the odd one, and it cuts both ways</t>
        </is>
      </c>
    </row>
    <row r="62">
      <c r="A62" t="inlineStr"/>
    </row>
    <row r="63" ht="78" customHeight="1">
      <c r="A63"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64">
      <c r="A64" t="inlineStr"/>
    </row>
    <row r="65" ht="15" customHeight="1">
      <c r="A65" s="23" t="inlineStr">
        <is>
          <t>One row is still unowned</t>
        </is>
      </c>
    </row>
    <row r="66">
      <c r="A66" t="inlineStr"/>
    </row>
    <row r="67" ht="52" customHeight="1">
      <c r="A67"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68">
      <c r="A68" t="inlineStr"/>
    </row>
    <row r="69" ht="15" customHeight="1">
      <c r="A69" s="23" t="inlineStr">
        <is>
          <t>Single points of failure that remain after both hires</t>
        </is>
      </c>
    </row>
    <row r="70">
      <c r="A70" t="inlineStr"/>
    </row>
    <row r="71" ht="91" customHeight="1">
      <c r="A71"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72">
      <c r="A7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Unowned function</t>
        </is>
      </c>
      <c r="B6" s="6" t="inlineStr">
        <is>
          <t>Ecommerce &amp; DTC</t>
        </is>
      </c>
      <c r="C6" s="6" t="inlineStr">
        <is>
          <t>Shopify revenue and channel position has no owner or gate.</t>
        </is>
      </c>
      <c r="D6" s="6" t="inlineStr">
        <is>
          <t>Registered as the revenue connection and named as the primary direct-to-consumer revenue track, but no process assigns ownership. The function closest to the top line is the least specified.</t>
        </is>
      </c>
      <c r="E6" s="6" t="inlineStr">
        <is>
          <t>Nicole on channel, Alvin on data - needs a decision</t>
        </is>
      </c>
      <c r="F6" s="7" t="n">
        <v>8</v>
      </c>
      <c r="G6" s="6" t="inlineStr">
        <is>
          <t>connections.md:7; context/about-business.md:5</t>
        </is>
      </c>
    </row>
    <row r="7">
      <c r="A7" s="25" t="inlineStr">
        <is>
          <t>Single point of failure</t>
        </is>
      </c>
      <c r="B7" s="6" t="inlineStr">
        <is>
          <t>Product Development</t>
        </is>
      </c>
      <c r="C7" s="6" t="inlineStr">
        <is>
          <t>Compatibility, stability, RIPT and PET decisions sit with an external contractor as both A and R.</t>
        </is>
      </c>
      <c r="D7" s="6" t="inlineStr">
        <is>
          <t>No internal counterpart can check the work or continue it. Pre-launch technical decisions have no second reader.</t>
        </is>
      </c>
      <c r="E7" s="6" t="inlineStr">
        <is>
          <t>PD Specialist as internal counterpart on hire</t>
        </is>
      </c>
      <c r="F7" s="7" t="n">
        <v>0</v>
      </c>
      <c r="G7" s="6" t="inlineStr">
        <is>
          <t>asana-pd-manager/references/role-map.md:16</t>
        </is>
      </c>
    </row>
    <row r="8">
      <c r="A8" s="25" t="inlineStr">
        <is>
          <t>Concentration</t>
        </is>
      </c>
      <c r="B8" s="6" t="inlineStr">
        <is>
          <t>All functions</t>
        </is>
      </c>
      <c r="C8" s="6" t="inlineStr">
        <is>
          <t>Three whole functions run through external partners: Regulatory (Pedrero), Finance (Ironclad), HR (Calm HR). Plus three contractors on packaging, creative and formulation.</t>
        </is>
      </c>
      <c r="D8" s="6" t="inlineStr">
        <is>
          <t>Six external parties hold the execution of Regulatory, Finance, HR, packaging, creative and formulation. Not a fault - it is how a team of nine covers this surface - but it means continuity rests on six engagements rather than on employment, and every one of them is a renewal decision.</t>
        </is>
      </c>
      <c r="E8" s="6" t="inlineStr">
        <is>
          <t>Confirm engagement terms and renewal dates for all six</t>
        </is>
      </c>
      <c r="F8" s="7" t="n">
        <v>0</v>
      </c>
      <c r="G8" s="6" t="inlineStr">
        <is>
          <t>Alvin, 2026-07-31 (external partners)</t>
        </is>
      </c>
    </row>
    <row r="9">
      <c r="A9" s="25" t="inlineStr">
        <is>
          <t>Single point of failure</t>
        </is>
      </c>
      <c r="B9" s="6" t="inlineStr">
        <is>
          <t>Regulatory &amp; Compliance</t>
        </is>
      </c>
      <c r="C9" s="6" t="inlineStr">
        <is>
          <t>Pedrero forms every regulatory opinion but holds no accountability, and Alvin performs every regulatory action. Consulted on 11 rows, responsible for none.</t>
        </is>
      </c>
      <c r="D9" s="6" t="inlineStr">
        <is>
          <t>Our own procedures make Pedrero consult-only with no Asana access and no internal authority, so the binding external call and the internal execution are both bottlenecks in different ways: their opinion gates the work, and only Alvin can act on it.</t>
        </is>
      </c>
      <c r="E9" s="6" t="inlineStr">
        <is>
          <t>Give the Reg Lead gate an alternate, or widen Pedrero's remit</t>
        </is>
      </c>
      <c r="F9" s="7" t="n">
        <v>0</v>
      </c>
      <c r="G9" s="6" t="inlineStr">
        <is>
          <t>regulatory-manager/references/pedrero-contacts.md:9,13,21</t>
        </is>
      </c>
    </row>
    <row r="10">
      <c r="A10" s="25" t="inlineStr">
        <is>
          <t>Single point of failure</t>
        </is>
      </c>
      <c r="B10" s="6" t="inlineStr">
        <is>
          <t>Creative</t>
        </is>
      </c>
      <c r="C10" s="6" t="inlineStr">
        <is>
          <t>Erin Hover is a contractor and the lead technical authority on packaging and artwork, accountable for 4 rows with no internal backup. On creative direction she is both A and R.</t>
        </is>
      </c>
      <c r="D10" s="6" t="inlineStr">
        <is>
          <t>Jan Haeck executes under her and is also a contractor, so the entire packaging and artwork chain sits outside the company. Neither approved job description covers creative authority.</t>
        </is>
      </c>
      <c r="E10" s="6" t="inlineStr">
        <is>
          <t>Name an internal creative counterpart, or scope it into a future role</t>
        </is>
      </c>
      <c r="F10" s="7" t="n">
        <v>0</v>
      </c>
      <c r="G10" s="6" t="inlineStr">
        <is>
          <t>Alvin, 2026-07-31 (role correction); asana-pd-manager/references/role-map.md:22-23</t>
        </is>
      </c>
    </row>
    <row r="11">
      <c r="A11" s="25" t="inlineStr">
        <is>
          <t>Single point of failure</t>
        </is>
      </c>
      <c r="B11" s="6" t="inlineStr">
        <is>
          <t>Quality</t>
        </is>
      </c>
      <c r="C11" s="6" t="inlineStr">
        <is>
          <t>Perrine holds A on 7 formulation rows as a contractor, with no named backup.</t>
        </is>
      </c>
      <c r="D11" s="6" t="inlineStr">
        <is>
          <t>Reduced from 11 by moving process gates to Nicole and packaging to Erin, which is real progress. What remains is genuinely formulation and genuinely single-threaded.</t>
        </is>
      </c>
      <c r="E11" s="6" t="inlineStr">
        <is>
          <t>Name a backup technical reviewer</t>
        </is>
      </c>
      <c r="F11" s="7" t="n">
        <v>0</v>
      </c>
      <c r="G11" s="6" t="inlineStr">
        <is>
          <t>Leadership Business Review 2026-07-30 25:18-25:50; quality-manager/references/role-map.md:14</t>
        </is>
      </c>
    </row>
    <row r="12">
      <c r="A12" s="25" t="inlineStr">
        <is>
          <t>Single point of failure</t>
        </is>
      </c>
      <c r="B12" s="6" t="inlineStr">
        <is>
          <t>Regulatory &amp; Compliance</t>
        </is>
      </c>
      <c r="C12" s="6" t="inlineStr">
        <is>
          <t>Operator and Reg Lead are the same person, so two gates designed to be independent fire against one approver.</t>
        </is>
      </c>
      <c r="D12" s="6" t="inlineStr">
        <is>
          <t>On ingredient-list packets, retailer attestations and FDA filings the second approval adds an audit entry but no second judgment. The 15-day reporting clock has no alternate.</t>
        </is>
      </c>
      <c r="E12" s="6" t="inlineStr">
        <is>
          <t>Split Reg Lead, or route the second gate to Pedrero</t>
        </is>
      </c>
      <c r="F12" s="7" t="n">
        <v>0</v>
      </c>
      <c r="G12" s="6" t="inlineStr">
        <is>
          <t>regulatory-manager/references/role-map.md:14; adverse-event-and-recall-reporter/SKILL.md:108</t>
        </is>
      </c>
    </row>
    <row r="13">
      <c r="A13" s="25" t="inlineStr">
        <is>
          <t>Single point of failure</t>
        </is>
      </c>
      <c r="B13" s="6" t="inlineStr">
        <is>
          <t>IT / Systems &amp; Data</t>
        </is>
      </c>
      <c r="C13" s="6" t="inlineStr">
        <is>
          <t>All 23 scheduled Routines stop at a human approval only Alvin can clear.</t>
        </is>
      </c>
      <c r="D13" s="6" t="inlineStr">
        <is>
          <t>Automation that fires unattended still needs him to commit. A week away queues the work rather than pausing it, and the Routines keep firing.</t>
        </is>
      </c>
      <c r="E13" s="6" t="inlineStr">
        <is>
          <t>Delegate publish gates to the new specialists</t>
        </is>
      </c>
      <c r="F13" s="7" t="n">
        <v>0</v>
      </c>
      <c r="G13" s="6" t="inlineStr">
        <is>
          <t>scheduled-prompts/weekly-pd-update.md:91</t>
        </is>
      </c>
    </row>
    <row r="14">
      <c r="A14" s="25" t="inlineStr">
        <is>
          <t>Single point of failure</t>
        </is>
      </c>
      <c r="B14" s="6" t="inlineStr">
        <is>
          <t>All functions</t>
        </is>
      </c>
      <c r="C14" s="6" t="inlineStr">
        <is>
          <t>Succession is documented once in the whole system - Soraya as interim CI lead if Nicole is out.</t>
        </is>
      </c>
      <c r="D14" s="6" t="inlineStr">
        <is>
          <t>Nothing comparable exists for the quality gate, the technical advisor, the Reg Lead or Creative. The repo's stated purpose is succession.</t>
        </is>
      </c>
      <c r="E14" s="6" t="inlineStr">
        <is>
          <t>Alvin to write per-role backups into each role-map</t>
        </is>
      </c>
      <c r="F14" s="7" t="n">
        <v>4</v>
      </c>
      <c r="G14" s="6" t="inlineStr">
        <is>
          <t>sjs-comp-intel/references/team-ownership.md:95; decisions/log.md:41</t>
        </is>
      </c>
    </row>
    <row r="15">
      <c r="A15" s="25" t="inlineStr">
        <is>
          <t>Open item</t>
        </is>
      </c>
      <c r="B15" s="6" t="inlineStr">
        <is>
          <t>Quality</t>
        </is>
      </c>
      <c r="C15" s="6" t="inlineStr">
        <is>
          <t>Quality management system and monthly trend review not yet stood up. Target end of Q3.</t>
        </is>
      </c>
      <c r="D15" s="6" t="inlineStr">
        <is>
          <t>The gate is assigned but the reporting cadence behind it is not built. Without trend data a recurring issue like the pump defect cannot drive a packaging decision.</t>
        </is>
      </c>
      <c r="E15" s="6" t="inlineStr">
        <is>
          <t>Alvin owns framework, Nicole runs it</t>
        </is>
      </c>
      <c r="F15" s="7" t="n">
        <v>12</v>
      </c>
      <c r="G15" s="6" t="inlineStr">
        <is>
          <t>Leadership Business Review 2026-07-30 26:02-26:17</t>
        </is>
      </c>
    </row>
    <row r="16">
      <c r="A16" s="25" t="inlineStr">
        <is>
          <t>Open item</t>
        </is>
      </c>
      <c r="B16" s="6" t="inlineStr">
        <is>
          <t>Operations &amp; Supply Chain</t>
        </is>
      </c>
      <c r="C16" s="6" t="inlineStr">
        <is>
          <t>22 tasks from the retired coordinator seat sit unassigned in an archived holding project; 4 overdue.</t>
        </is>
      </c>
      <c r="D16" s="6" t="inlineStr">
        <is>
          <t>An unassigned task drops out of every per-person sweep and goes stale silently. Concrete cost of running the interim split for a quarter.</t>
        </is>
      </c>
      <c r="E16" s="6" t="inlineStr">
        <is>
          <t>Alvin to reassign under the interim split</t>
        </is>
      </c>
      <c r="F16" s="7" t="n">
        <v>3</v>
      </c>
      <c r="G16" s="6" t="inlineStr">
        <is>
          <t>decisions/log.md:60</t>
        </is>
      </c>
    </row>
    <row r="17">
      <c r="A17" s="25" t="inlineStr">
        <is>
          <t>Open item</t>
        </is>
      </c>
      <c r="B17" s="6" t="inlineStr">
        <is>
          <t>People &amp; Admin</t>
        </is>
      </c>
      <c r="C17" s="6" t="inlineStr">
        <is>
          <t>SOP cleanup and operational prep before onboarding is not done.</t>
        </is>
      </c>
      <c r="D17" s="6" t="inlineStr">
        <is>
          <t>Danielle's stated condition on the hire: clean up the system first so the role can function. Onboarding into the current state recreates the too-broad seat.</t>
        </is>
      </c>
      <c r="E17" s="6" t="inlineStr">
        <is>
          <t>Alvin and Nicole, before the Ops seat starts</t>
        </is>
      </c>
      <c r="F17" s="7" t="n">
        <v>16</v>
      </c>
      <c r="G17" s="6" t="inlineStr">
        <is>
          <t>Leadership Business Review 2026-07-30 54:24-55:43, 1:00:32</t>
        </is>
      </c>
    </row>
    <row r="18">
      <c r="A18" s="25" t="inlineStr">
        <is>
          <t>Open item</t>
        </is>
      </c>
      <c r="B18" s="6" t="inlineStr">
        <is>
          <t>IT / Systems &amp; Data</t>
        </is>
      </c>
      <c r="C18" s="6" t="inlineStr">
        <is>
          <t>Wiki write-back has not fired since 2026-05-26. 123 of 133 pages are untouched seed content.</t>
        </is>
      </c>
      <c r="D18" s="6" t="inlineStr">
        <is>
          <t>The bridges' runtime lexicon reads stale seed data, degrading vendor, contact and product recognition on every sweep.</t>
        </is>
      </c>
      <c r="E18" s="6" t="inlineStr">
        <is>
          <t>Alvin; part of the skills-architecture backlog</t>
        </is>
      </c>
      <c r="F18" s="7" t="n">
        <v>8</v>
      </c>
      <c r="G18" s="6" t="inlineStr">
        <is>
          <t>decisions/wiki-layer-audit-2026-07-29.md:52; decisions/log.md:75</t>
        </is>
      </c>
    </row>
    <row r="19">
      <c r="A19" s="25" t="inlineStr">
        <is>
          <t>Open item</t>
        </is>
      </c>
      <c r="B19" s="6" t="inlineStr">
        <is>
          <t>Quality</t>
        </is>
      </c>
      <c r="C19" s="6" t="inlineStr">
        <is>
          <t>Nine SOPs and forms are 29 days overdue on annual review.</t>
        </is>
      </c>
      <c r="D19" s="6" t="inlineStr">
        <is>
          <t>Review dates were null so the annual sweep had nothing to fire on. Dates are restored; the reviews are not done, and each needs sign-off.</t>
        </is>
      </c>
      <c r="E19" s="6" t="inlineStr">
        <is>
          <t>Nicole approves as the quality gate; Alvin stages</t>
        </is>
      </c>
      <c r="F19" s="7" t="n">
        <v>12</v>
      </c>
      <c r="G19" s="6" t="inlineStr">
        <is>
          <t>decisions/log.md:69</t>
        </is>
      </c>
    </row>
    <row r="20">
      <c r="A20" s="25" t="inlineStr">
        <is>
          <t>Uncovered brand</t>
        </is>
      </c>
      <c r="B20" s="6" t="inlineStr">
        <is>
          <t>All functions</t>
        </is>
      </c>
      <c r="C20" s="6" t="inlineStr">
        <is>
          <t>Sweet July, the lifestyle brand, has no coverage. The suite is Sweet July Skin plus company-wide work.</t>
        </is>
      </c>
      <c r="D20" s="6" t="inlineStr">
        <is>
          <t>Merch, licensing and non-skincare retail are run somewhere, but nothing documents who owns them. They cannot be put on a RACI from these sources.</t>
        </is>
      </c>
      <c r="E20" s="6" t="inlineStr">
        <is>
          <t>Danielle to confirm scope for the next version</t>
        </is>
      </c>
      <c r="F20" s="7" t="n">
        <v>0</v>
      </c>
      <c r="G20" s="6" t="inlineStr">
        <is>
          <t>references/architecture/system_map.md:3; context/about-business.md:3</t>
        </is>
      </c>
    </row>
    <row r="22">
      <c r="A22" s="14" t="inlineStr">
        <is>
          <t>Hours per month</t>
        </is>
      </c>
      <c r="C22" s="17" t="inlineStr">
        <is>
          <t>Rough estimates. Open-seat rows are full-time-equivalent load, not incremental. Zero means the gap is a structural exposure rather than unbilled hours.</t>
        </is>
      </c>
    </row>
  </sheetData>
  <autoFilter ref="A1:G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2026-07-31T06:30:54Z</dcterms:created>
  <dcterms:modified xsi:type="dcterms:W3CDTF">2026-07-31T06:30:54Z</dcterms:modified>
</cp:coreProperties>
</file>