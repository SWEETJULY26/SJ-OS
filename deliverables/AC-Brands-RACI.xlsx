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'RACI'!$A$1:$N$67</definedName>
    <definedName name="_xlnm._FilterDatabase" localSheetId="2" hidden="1">'Gaps'!$A$1:$G$17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0"/>
    </font>
    <font>
      <name val="Arial"/>
      <b val="1"/>
      <sz val="13"/>
    </font>
    <font>
      <name val="Arial"/>
      <b val="1"/>
      <sz val="11"/>
    </font>
  </fonts>
  <fills count="6">
    <fill>
      <patternFill/>
    </fill>
    <fill>
      <patternFill patternType="gray125"/>
    </fill>
    <fill>
      <patternFill patternType="solid">
        <fgColor rgb="001F3B4D"/>
      </patternFill>
    </fill>
    <fill>
      <patternFill patternType="solid">
        <fgColor rgb="004F81BD"/>
      </patternFill>
    </fill>
    <fill>
      <patternFill patternType="solid">
        <fgColor rgb="00C0504D"/>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1">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3" fillId="5" borderId="1" applyAlignment="1" pivotButton="0" quotePrefix="0" xfId="0">
      <alignment vertical="top" wrapText="1"/>
    </xf>
    <xf numFmtId="0" fontId="2" fillId="0" borderId="1" applyAlignment="1" pivotButton="0" quotePrefix="0" xfId="0">
      <alignment vertical="top" wrapText="1"/>
    </xf>
    <xf numFmtId="0" fontId="2" fillId="0"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4" fillId="0" borderId="0" pivotButton="0" quotePrefix="0" xfId="0"/>
    <xf numFmtId="0" fontId="0" fillId="4" borderId="0" pivotButton="0" quotePrefix="0" xfId="0"/>
    <xf numFmtId="0" fontId="2" fillId="0" borderId="0" pivotButton="0" quotePrefix="0" xfId="0"/>
    <xf numFmtId="0" fontId="0" fillId="3" borderId="0" pivotButton="0" quotePrefix="0" xfId="0"/>
    <xf numFmtId="0" fontId="3"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5" fillId="0" borderId="0"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60" customWidth="1" min="13" max="13"/>
    <col width="80" customWidth="1" min="14" max="14"/>
  </cols>
  <sheetData>
    <row r="1" ht="30" customHeight="1">
      <c r="A1" s="1" t="inlineStr">
        <is>
          <t>Function</t>
        </is>
      </c>
      <c r="B1" s="1" t="inlineStr">
        <is>
          <t>Activity</t>
        </is>
      </c>
      <c r="C1" s="2" t="inlineStr">
        <is>
          <t>AC</t>
        </is>
      </c>
      <c r="D1" s="2" t="inlineStr">
        <is>
          <t>DI</t>
        </is>
      </c>
      <c r="E1" s="2" t="inlineStr">
        <is>
          <t>AB</t>
        </is>
      </c>
      <c r="F1" s="2" t="inlineStr">
        <is>
          <t>NI</t>
        </is>
      </c>
      <c r="G1" s="2" t="inlineStr">
        <is>
          <t>SS</t>
        </is>
      </c>
      <c r="H1" s="2" t="inlineStr">
        <is>
          <t>KL</t>
        </is>
      </c>
      <c r="I1" s="2" t="inlineStr">
        <is>
          <t>EH</t>
        </is>
      </c>
      <c r="J1" s="2" t="inlineStr">
        <is>
          <t>IT</t>
        </is>
      </c>
      <c r="K1" s="2" t="inlineStr">
        <is>
          <t>JH</t>
        </is>
      </c>
      <c r="L1" s="2" t="inlineStr">
        <is>
          <t>PC</t>
        </is>
      </c>
      <c r="M1" s="1" t="inlineStr">
        <is>
          <t>Source (file:line)</t>
        </is>
      </c>
      <c r="N1" s="1" t="inlineStr">
        <is>
          <t>Notes</t>
        </is>
      </c>
    </row>
    <row r="2">
      <c r="A2" s="3" t="inlineStr">
        <is>
          <t>Product Development</t>
        </is>
      </c>
      <c r="B2" s="4" t="inlineStr">
        <is>
          <t>Formula stage-gate progression through the PD Formula Tracker</t>
        </is>
      </c>
      <c r="C2" s="5" t="inlineStr"/>
      <c r="D2" s="5" t="inlineStr">
        <is>
          <t>I</t>
        </is>
      </c>
      <c r="E2" s="6" t="inlineStr">
        <is>
          <t>R</t>
        </is>
      </c>
      <c r="F2" s="5" t="inlineStr">
        <is>
          <t>C</t>
        </is>
      </c>
      <c r="G2" s="5" t="inlineStr"/>
      <c r="H2" s="5" t="inlineStr"/>
      <c r="I2" s="5" t="inlineStr"/>
      <c r="J2" s="5" t="inlineStr"/>
      <c r="K2" s="5" t="inlineStr"/>
      <c r="L2" s="7" t="inlineStr">
        <is>
          <t>A</t>
        </is>
      </c>
      <c r="M2" s="4" t="inlineStr">
        <is>
          <t>.claude/skills/asana-pd-manager/references/role-map.md:16; .claude/skills/asana-pd-manager/SKILL.md:60</t>
        </is>
      </c>
      <c r="N2" s="4" t="inlineStr">
        <is>
          <t>PD Lead holds technical sign-off on formula stage moves. Operator confirms every move (Rule 1 preview); reversals get a stronger intent check.</t>
        </is>
      </c>
    </row>
    <row r="3">
      <c r="A3" s="3" t="inlineStr">
        <is>
          <t>Product Development</t>
        </is>
      </c>
      <c r="B3" s="4" t="inlineStr">
        <is>
          <t>Compatibility, stability, RIPT and PET decisions (pre-launch)</t>
        </is>
      </c>
      <c r="C3" s="5" t="inlineStr"/>
      <c r="D3" s="5" t="inlineStr"/>
      <c r="E3" s="5" t="inlineStr">
        <is>
          <t>C</t>
        </is>
      </c>
      <c r="F3" s="5" t="inlineStr">
        <is>
          <t>I</t>
        </is>
      </c>
      <c r="G3" s="5" t="inlineStr"/>
      <c r="H3" s="5" t="inlineStr"/>
      <c r="I3" s="5" t="inlineStr"/>
      <c r="J3" s="5" t="inlineStr"/>
      <c r="K3" s="5" t="inlineStr"/>
      <c r="L3" s="7" t="inlineStr">
        <is>
          <t>A/R</t>
        </is>
      </c>
      <c r="M3" s="4" t="inlineStr">
        <is>
          <t>.claude/skills/asana-pd-manager/references/role-map.md:16</t>
        </is>
      </c>
      <c r="N3" s="4" t="inlineStr">
        <is>
          <t>PD Lead owns the technical call outright. A and R the same person, and PC is an external contractor.</t>
        </is>
      </c>
    </row>
    <row r="4">
      <c r="A4" s="3" t="inlineStr">
        <is>
          <t>Product Development</t>
        </is>
      </c>
      <c r="B4" s="4" t="inlineStr">
        <is>
          <t>Packaging development with fillers and component vendors</t>
        </is>
      </c>
      <c r="C4" s="5" t="inlineStr"/>
      <c r="D4" s="5" t="inlineStr"/>
      <c r="E4" s="5" t="inlineStr">
        <is>
          <t>C</t>
        </is>
      </c>
      <c r="F4" s="5" t="inlineStr"/>
      <c r="G4" s="5" t="inlineStr"/>
      <c r="H4" s="5" t="inlineStr"/>
      <c r="I4" s="5" t="inlineStr">
        <is>
          <t>C</t>
        </is>
      </c>
      <c r="J4" s="5" t="inlineStr"/>
      <c r="K4" s="6" t="inlineStr">
        <is>
          <t>R</t>
        </is>
      </c>
      <c r="L4" s="7" t="inlineStr">
        <is>
          <t>A</t>
        </is>
      </c>
      <c r="M4" s="4" t="inlineStr">
        <is>
          <t>.claude/skills/asana-pd-manager/references/role-map.md:16,23</t>
        </is>
      </c>
      <c r="N4" s="4" t="inlineStr">
        <is>
          <t>PD Lead owns packaging dev calls; Jan executes packaging and artwork under Erin. Both are contractors.</t>
        </is>
      </c>
    </row>
    <row r="5">
      <c r="A5" s="3" t="inlineStr">
        <is>
          <t>Product Development</t>
        </is>
      </c>
      <c r="B5" s="4" t="inlineStr">
        <is>
          <t>Direction-changing PD decisions (launch scope, supplier change, kill calls)</t>
        </is>
      </c>
      <c r="C5" s="5" t="inlineStr">
        <is>
          <t>I</t>
        </is>
      </c>
      <c r="D5" s="7" t="inlineStr">
        <is>
          <t>A</t>
        </is>
      </c>
      <c r="E5" s="6" t="inlineStr">
        <is>
          <t>R</t>
        </is>
      </c>
      <c r="F5" s="5" t="inlineStr">
        <is>
          <t>C</t>
        </is>
      </c>
      <c r="G5" s="5" t="inlineStr"/>
      <c r="H5" s="5" t="inlineStr"/>
      <c r="I5" s="5" t="inlineStr"/>
      <c r="J5" s="5" t="inlineStr"/>
      <c r="K5" s="5" t="inlineStr"/>
      <c r="L5" s="5" t="inlineStr">
        <is>
          <t>C</t>
        </is>
      </c>
      <c r="M5" s="4" t="inlineStr">
        <is>
          <t>.claude/skills/asana-pd-manager/references/role-map.md:17,18</t>
        </is>
      </c>
      <c r="N5" s="4" t="inlineStr">
        <is>
          <t>President approves. PD Consult is final-line approver alongside the President.</t>
        </is>
      </c>
    </row>
    <row r="6">
      <c r="A6" s="3" t="inlineStr">
        <is>
          <t>Product Development</t>
        </is>
      </c>
      <c r="B6" s="4" t="inlineStr">
        <is>
          <t>Founder approval on brand-line moves</t>
        </is>
      </c>
      <c r="C6" s="7" t="inlineStr">
        <is>
          <t>A</t>
        </is>
      </c>
      <c r="D6" s="5" t="inlineStr">
        <is>
          <t>C</t>
        </is>
      </c>
      <c r="E6" s="6" t="inlineStr">
        <is>
          <t>R</t>
        </is>
      </c>
      <c r="F6" s="5" t="inlineStr">
        <is>
          <t>C</t>
        </is>
      </c>
      <c r="G6" s="5" t="inlineStr"/>
      <c r="H6" s="5" t="inlineStr"/>
      <c r="I6" s="5" t="inlineStr"/>
      <c r="J6" s="5" t="inlineStr"/>
      <c r="K6" s="5" t="inlineStr"/>
      <c r="L6" s="5" t="inlineStr"/>
      <c r="M6" s="4" t="inlineStr">
        <is>
          <t>.claude/skills/asana-pd-manager/references/role-map.md:19</t>
        </is>
      </c>
      <c r="N6" s="4" t="inlineStr">
        <is>
          <t>Founder gate. Ayesha receives weekly PD signal through the Friday briefing.</t>
        </is>
      </c>
    </row>
    <row r="7">
      <c r="A7" s="3" t="inlineStr">
        <is>
          <t>Product Development</t>
        </is>
      </c>
      <c r="B7" s="4" t="inlineStr">
        <is>
          <t>PD signal intake from meetings and supplier email, plus PD status reporting</t>
        </is>
      </c>
      <c r="C7" s="5" t="inlineStr"/>
      <c r="D7" s="5" t="inlineStr">
        <is>
          <t>I</t>
        </is>
      </c>
      <c r="E7" s="7" t="inlineStr">
        <is>
          <t>A/R</t>
        </is>
      </c>
      <c r="F7" s="5" t="inlineStr">
        <is>
          <t>C</t>
        </is>
      </c>
      <c r="G7" s="5" t="inlineStr"/>
      <c r="H7" s="5" t="inlineStr"/>
      <c r="I7" s="5" t="inlineStr"/>
      <c r="J7" s="5" t="inlineStr"/>
      <c r="K7" s="5" t="inlineStr"/>
      <c r="L7" s="5" t="inlineStr">
        <is>
          <t>C</t>
        </is>
      </c>
      <c r="M7" s="4" t="inlineStr">
        <is>
          <t>.claude/skills/fireflies-asana-bridge/SKILL.md:287; .claude/skills/outlook-plm-bridge/SKILL.md:191; .claude/skills/sjs-status-reporter/SKILL.md:331,385</t>
        </is>
      </c>
      <c r="N7" s="4" t="inlineStr">
        <is>
          <t>Alvin is the named approver on Flow D formula-approval decisions and classifies every meeting item. Covers the three PD hub dashboards. A and R both AB.</t>
        </is>
      </c>
    </row>
    <row r="8">
      <c r="A8" s="3" t="inlineStr">
        <is>
          <t>Product Development</t>
        </is>
      </c>
      <c r="B8" s="4" t="inlineStr">
        <is>
          <t>Reformulation triggered by a Quality or Regulatory reverse-handoff</t>
        </is>
      </c>
      <c r="C8" s="5" t="inlineStr"/>
      <c r="D8" s="5" t="inlineStr">
        <is>
          <t>I</t>
        </is>
      </c>
      <c r="E8" s="6" t="inlineStr">
        <is>
          <t>R</t>
        </is>
      </c>
      <c r="F8" s="5" t="inlineStr">
        <is>
          <t>C</t>
        </is>
      </c>
      <c r="G8" s="5" t="inlineStr"/>
      <c r="H8" s="5" t="inlineStr"/>
      <c r="I8" s="5" t="inlineStr"/>
      <c r="J8" s="5" t="inlineStr"/>
      <c r="K8" s="5" t="inlineStr"/>
      <c r="L8" s="7" t="inlineStr">
        <is>
          <t>A</t>
        </is>
      </c>
      <c r="M8" s="4" t="inlineStr">
        <is>
          <t>.claude/skills/asana-pd-manager/references/role-map.md:16; .claude/skills/capa-coordinator/SKILL.md:85</t>
        </is>
      </c>
      <c r="N8" s="4" t="inlineStr">
        <is>
          <t>PD Lead is cross-flagged for any PD-side reformulation. Reformulation handoff rides the root-cause approval - no separate gate.</t>
        </is>
      </c>
    </row>
    <row r="9">
      <c r="A9" s="3" t="inlineStr">
        <is>
          <t>Operations &amp; Supply Chain</t>
        </is>
      </c>
      <c r="B9" s="4" t="inlineStr">
        <is>
          <t>Vendor master data, onboarding (NDA + W9 gate), sourcing and performance scorecards</t>
        </is>
      </c>
      <c r="C9" s="5" t="inlineStr"/>
      <c r="D9" s="5" t="inlineStr"/>
      <c r="E9" s="7" t="inlineStr">
        <is>
          <t>A/R</t>
        </is>
      </c>
      <c r="F9" s="5" t="inlineStr">
        <is>
          <t>C</t>
        </is>
      </c>
      <c r="G9" s="5" t="inlineStr">
        <is>
          <t>C</t>
        </is>
      </c>
      <c r="H9" s="5" t="inlineStr"/>
      <c r="I9" s="5" t="inlineStr"/>
      <c r="J9" s="5" t="inlineStr"/>
      <c r="K9" s="5" t="inlineStr"/>
      <c r="L9" s="5" t="inlineStr">
        <is>
          <t>C</t>
        </is>
      </c>
      <c r="M9" s="4" t="inlineStr">
        <is>
          <t>.claude/skills/purchasing-manager/SKILL.md:42,46,75,154,158</t>
        </is>
      </c>
      <c r="N9" s="4" t="inlineStr">
        <is>
          <t>PLM vendor record created only after Operations approves at 2D. First-contact routing varies by vendor_type (SKILL.md:50-56) but the approval gate does not. A and R both AB.</t>
        </is>
      </c>
    </row>
    <row r="10">
      <c r="A10" s="3" t="inlineStr">
        <is>
          <t>Operations &amp; Supply Chain</t>
        </is>
      </c>
      <c r="B10" s="4" t="inlineStr">
        <is>
          <t>Purchase order lifecycle: placement, acknowledgement variance, close and discrepancy</t>
        </is>
      </c>
      <c r="C10" s="5" t="inlineStr"/>
      <c r="D10" s="5" t="inlineStr"/>
      <c r="E10" s="7" t="inlineStr">
        <is>
          <t>A/R</t>
        </is>
      </c>
      <c r="F10" s="5" t="inlineStr"/>
      <c r="G10" s="5" t="inlineStr"/>
      <c r="H10" s="5" t="inlineStr"/>
      <c r="I10" s="5" t="inlineStr"/>
      <c r="J10" s="5" t="inlineStr"/>
      <c r="K10" s="5" t="inlineStr"/>
      <c r="L10" s="5" t="inlineStr">
        <is>
          <t>C</t>
        </is>
      </c>
      <c r="M10" s="4" t="inlineStr">
        <is>
          <t>.claude/skills/purchasing-manager/SKILL.md:108,116,140,248</t>
        </is>
      </c>
      <c r="N10" s="4" t="inlineStr">
        <is>
          <t>Six sub-flows from draft to close, plus Job 10 discrepancy investigation. Every gate is Operations. A and R both AB.</t>
        </is>
      </c>
    </row>
    <row r="11">
      <c r="A11" s="3" t="inlineStr">
        <is>
          <t>Operations &amp; Supply Chain</t>
        </is>
      </c>
      <c r="B11" s="4" t="inlineStr">
        <is>
          <t>Goods receipt on PD-linked purchase orders</t>
        </is>
      </c>
      <c r="C11" s="5" t="inlineStr"/>
      <c r="D11" s="5" t="inlineStr"/>
      <c r="E11" s="6" t="inlineStr">
        <is>
          <t>R</t>
        </is>
      </c>
      <c r="F11" s="5" t="inlineStr">
        <is>
          <t>C</t>
        </is>
      </c>
      <c r="G11" s="5" t="inlineStr"/>
      <c r="H11" s="5" t="inlineStr"/>
      <c r="I11" s="5" t="inlineStr"/>
      <c r="J11" s="5" t="inlineStr"/>
      <c r="K11" s="5" t="inlineStr"/>
      <c r="L11" s="7" t="inlineStr">
        <is>
          <t>A</t>
        </is>
      </c>
      <c r="M11" s="4" t="inlineStr">
        <is>
          <t>.claude/skills/purchasing-manager/SKILL.md:130</t>
        </is>
      </c>
      <c r="N11" s="4" t="inlineStr">
        <is>
          <t>PD owns the close on PD-linked receipts; Purchasing carries the receipt signal only. The one Ops row where accountability sits off the VP seat.</t>
        </is>
      </c>
    </row>
    <row r="12">
      <c r="A12" s="3" t="inlineStr">
        <is>
          <t>Operations &amp; Supply Chain</t>
        </is>
      </c>
      <c r="B12" s="4" t="inlineStr">
        <is>
          <t>Three-way reconciliation across PLM, Shopify and Logiwa</t>
        </is>
      </c>
      <c r="C12" s="5" t="inlineStr"/>
      <c r="D12" s="5" t="inlineStr"/>
      <c r="E12" s="7" t="inlineStr">
        <is>
          <t>A/R</t>
        </is>
      </c>
      <c r="F12" s="5" t="inlineStr">
        <is>
          <t>C</t>
        </is>
      </c>
      <c r="G12" s="5" t="inlineStr"/>
      <c r="H12" s="5" t="inlineStr"/>
      <c r="I12" s="5" t="inlineStr"/>
      <c r="J12" s="5" t="inlineStr"/>
      <c r="K12" s="5" t="inlineStr"/>
      <c r="L12" s="5" t="inlineStr"/>
      <c r="M12" s="4" t="inlineStr">
        <is>
          <t>.claude/skills/inventory-manager/SKILL.md:68</t>
        </is>
      </c>
      <c r="N12" s="4" t="inlineStr">
        <is>
          <t>Operations decides the correction direction, usually trusting Logiwa as physical reality. A and R both AB.</t>
        </is>
      </c>
    </row>
    <row r="13">
      <c r="A13" s="3" t="inlineStr">
        <is>
          <t>Operations &amp; Supply Chain</t>
        </is>
      </c>
      <c r="B13" s="4" t="inlineStr">
        <is>
          <t>Vendor invoice classification and cost capture (five HITL gates)</t>
        </is>
      </c>
      <c r="C13" s="5" t="inlineStr"/>
      <c r="D13" s="5" t="inlineStr">
        <is>
          <t>I</t>
        </is>
      </c>
      <c r="E13" s="7" t="inlineStr">
        <is>
          <t>A/R</t>
        </is>
      </c>
      <c r="F13" s="5" t="inlineStr">
        <is>
          <t>C</t>
        </is>
      </c>
      <c r="G13" s="5" t="inlineStr">
        <is>
          <t>C</t>
        </is>
      </c>
      <c r="H13" s="5" t="inlineStr"/>
      <c r="I13" s="5" t="inlineStr"/>
      <c r="J13" s="5" t="inlineStr"/>
      <c r="K13" s="5" t="inlineStr"/>
      <c r="L13" s="5" t="inlineStr"/>
      <c r="M13" s="4" t="inlineStr">
        <is>
          <t>.claude/skills/purchasing-manager/SKILL.md:234,235,238</t>
        </is>
      </c>
      <c r="N13" s="4" t="inlineStr">
        <is>
          <t>Operator confirms cost_category, regulatory_driver, linked SKU and multi-home routing before any PLM write, and approves the dispute branch. A and R both AB.</t>
        </is>
      </c>
    </row>
    <row r="14">
      <c r="A14" s="3" t="inlineStr">
        <is>
          <t>Operations &amp; Supply Chain</t>
        </is>
      </c>
      <c r="B14" s="4" t="inlineStr">
        <is>
          <t>Inventory position keeping, batch creation on receipt and the location ledger</t>
        </is>
      </c>
      <c r="C14" s="5" t="inlineStr"/>
      <c r="D14" s="5" t="inlineStr"/>
      <c r="E14" s="7" t="inlineStr">
        <is>
          <t>A/R</t>
        </is>
      </c>
      <c r="F14" s="5" t="inlineStr">
        <is>
          <t>I</t>
        </is>
      </c>
      <c r="G14" s="5" t="inlineStr"/>
      <c r="H14" s="5" t="inlineStr"/>
      <c r="I14" s="5" t="inlineStr"/>
      <c r="J14" s="5" t="inlineStr"/>
      <c r="K14" s="5" t="inlineStr"/>
      <c r="L14" s="5" t="inlineStr">
        <is>
          <t>C</t>
        </is>
      </c>
      <c r="M14" s="4" t="inlineStr">
        <is>
          <t>.claude/skills/inventory-manager/SKILL.md:18,52,60</t>
        </is>
      </c>
      <c r="N14" s="4" t="inlineStr">
        <is>
          <t>Ex-Ops-Coordinator scope. Alvin took inventory under the 2026-07-17 interim split. A and R both AB.</t>
        </is>
      </c>
    </row>
    <row r="15">
      <c r="A15" s="3" t="inlineStr">
        <is>
          <t>Operations &amp; Supply Chain</t>
        </is>
      </c>
      <c r="B15" s="4" t="inlineStr">
        <is>
          <t>Adjustments, write-offs and return dispositions</t>
        </is>
      </c>
      <c r="C15" s="5" t="inlineStr"/>
      <c r="D15" s="5" t="inlineStr"/>
      <c r="E15" s="7" t="inlineStr">
        <is>
          <t>A/R</t>
        </is>
      </c>
      <c r="F15" s="5" t="inlineStr"/>
      <c r="G15" s="5" t="inlineStr"/>
      <c r="H15" s="5" t="inlineStr"/>
      <c r="I15" s="5" t="inlineStr"/>
      <c r="J15" s="5" t="inlineStr"/>
      <c r="K15" s="5" t="inlineStr"/>
      <c r="L15" s="5" t="inlineStr">
        <is>
          <t>C</t>
        </is>
      </c>
      <c r="M15" s="4" t="inlineStr">
        <is>
          <t>.claude/skills/inventory-manager/SKILL.md:94</t>
        </is>
      </c>
      <c r="N15" s="4" t="inlineStr">
        <is>
          <t>Operations approves. Near-expiry write-offs wait on the quality call first. A and R both AB.</t>
        </is>
      </c>
    </row>
    <row r="16">
      <c r="A16" s="3" t="inlineStr">
        <is>
          <t>Operations &amp; Supply Chain</t>
        </is>
      </c>
      <c r="B16" s="4" t="inlineStr">
        <is>
          <t>S&amp;OP: forecast, inventory targets and buy recommendations</t>
        </is>
      </c>
      <c r="C16" s="5" t="inlineStr"/>
      <c r="D16" s="5" t="inlineStr">
        <is>
          <t>I</t>
        </is>
      </c>
      <c r="E16" s="7" t="inlineStr">
        <is>
          <t>A/R</t>
        </is>
      </c>
      <c r="F16" s="5" t="inlineStr">
        <is>
          <t>C</t>
        </is>
      </c>
      <c r="G16" s="5" t="inlineStr"/>
      <c r="H16" s="5" t="inlineStr"/>
      <c r="I16" s="5" t="inlineStr"/>
      <c r="J16" s="5" t="inlineStr"/>
      <c r="K16" s="5" t="inlineStr"/>
      <c r="L16" s="5" t="inlineStr"/>
      <c r="M16" s="4" t="inlineStr">
        <is>
          <t>.claude/skills/supply-demand-planner/SKILL.md:30-52; .claude/skills/supply-demand-planner/references/plm-schema-additions.md:139</t>
        </is>
      </c>
      <c r="N16" s="4" t="inlineStr">
        <is>
          <t>Operations approves; plm-assistant executes the SQL. Four intertwined jobs on one person. A and R both AB.</t>
        </is>
      </c>
    </row>
    <row r="17">
      <c r="A17" s="3" t="inlineStr">
        <is>
          <t>Operations &amp; Supply Chain</t>
        </is>
      </c>
      <c r="B17" s="4" t="inlineStr">
        <is>
          <t>Inbound freight, customs, duty and carrier claims</t>
        </is>
      </c>
      <c r="C17" s="5" t="inlineStr"/>
      <c r="D17" s="5" t="inlineStr"/>
      <c r="E17" s="7" t="inlineStr">
        <is>
          <t>A/R</t>
        </is>
      </c>
      <c r="F17" s="5" t="inlineStr"/>
      <c r="G17" s="5" t="inlineStr"/>
      <c r="H17" s="5" t="inlineStr"/>
      <c r="I17" s="5" t="inlineStr"/>
      <c r="J17" s="5" t="inlineStr"/>
      <c r="K17" s="5" t="inlineStr"/>
      <c r="L17" s="5" t="inlineStr">
        <is>
          <t>I</t>
        </is>
      </c>
      <c r="M17" s="4" t="inlineStr">
        <is>
          <t>.claude/skills/logistics-manager/SKILL.md:59,186; .claude/skills/logistics-manager/forms/international-dtc-shipment.md:11</t>
        </is>
      </c>
      <c r="N17" s="4" t="inlineStr">
        <is>
          <t>Nothing created or updated until Operations signs off. Ex-Ops-Coordinator logistics scope, now Alvin. HCT and Impress origin Asia so customs is routine. A and R both AB.</t>
        </is>
      </c>
    </row>
    <row r="18">
      <c r="A18" s="3" t="inlineStr">
        <is>
          <t>Operations &amp; Supply Chain</t>
        </is>
      </c>
      <c r="B18" s="4" t="inlineStr">
        <is>
          <t>Daily DTC order operations and the Logiwa report parse</t>
        </is>
      </c>
      <c r="C18" s="5" t="inlineStr"/>
      <c r="D18" s="5" t="inlineStr"/>
      <c r="E18" s="5" t="inlineStr">
        <is>
          <t>C</t>
        </is>
      </c>
      <c r="F18" s="7" t="inlineStr">
        <is>
          <t>A/R</t>
        </is>
      </c>
      <c r="G18" s="5" t="inlineStr"/>
      <c r="H18" s="5" t="inlineStr"/>
      <c r="I18" s="5" t="inlineStr"/>
      <c r="J18" s="5" t="inlineStr"/>
      <c r="K18" s="5" t="inlineStr"/>
      <c r="L18" s="5" t="inlineStr"/>
      <c r="M18" s="4" t="inlineStr">
        <is>
          <t>.claude/skills/ayesha-weekly-briefing/SKILL.md:123; .claude/skills/oc3pl-order-manager/SKILL.md:109,191</t>
        </is>
      </c>
      <c r="N18" s="4" t="inlineStr">
        <is>
          <t>Ex-Ops-Coordinator scope. Nicole covers order management and OC3PL under the 2026-07-17 interim split. A and R both NI.</t>
        </is>
      </c>
    </row>
    <row r="19">
      <c r="A19" s="3" t="inlineStr">
        <is>
          <t>Operations &amp; Supply Chain</t>
        </is>
      </c>
      <c r="B19" s="4" t="inlineStr">
        <is>
          <t>Pre-ship out-of-stock holds from the shortage sheet</t>
        </is>
      </c>
      <c r="C19" s="5" t="inlineStr"/>
      <c r="D19" s="5" t="inlineStr"/>
      <c r="E19" s="6" t="inlineStr">
        <is>
          <t>R</t>
        </is>
      </c>
      <c r="F19" s="7" t="inlineStr">
        <is>
          <t>A</t>
        </is>
      </c>
      <c r="G19" s="5" t="inlineStr"/>
      <c r="H19" s="5" t="inlineStr"/>
      <c r="I19" s="5" t="inlineStr"/>
      <c r="J19" s="5" t="inlineStr"/>
      <c r="K19" s="5" t="inlineStr"/>
      <c r="L19" s="5" t="inlineStr"/>
      <c r="M19" s="4" t="inlineStr">
        <is>
          <t>.claude/skills/oc3pl-order-manager/SKILL.md:201; .claude/skills/ayesha-weekly-briefing/SKILL.md:123</t>
        </is>
      </c>
      <c r="N19" s="4" t="inlineStr">
        <is>
          <t>Order-side holds sit with Nicole; SKU-level shortage routing belongs to inventory-manager, so Alvin does the work.</t>
        </is>
      </c>
    </row>
    <row r="20">
      <c r="A20" s="3" t="inlineStr">
        <is>
          <t>Operations &amp; Supply Chain</t>
        </is>
      </c>
      <c r="B20" s="4" t="inlineStr">
        <is>
          <t>Retailer ASN / EDI 856 and routing-guide compliance (Ulta DC, Amazon Vendor)</t>
        </is>
      </c>
      <c r="C20" s="5" t="inlineStr"/>
      <c r="D20" s="5" t="inlineStr">
        <is>
          <t>I</t>
        </is>
      </c>
      <c r="E20" s="6" t="inlineStr">
        <is>
          <t>R</t>
        </is>
      </c>
      <c r="F20" s="7" t="inlineStr">
        <is>
          <t>A</t>
        </is>
      </c>
      <c r="G20" s="5" t="inlineStr"/>
      <c r="H20" s="5" t="inlineStr"/>
      <c r="I20" s="5" t="inlineStr"/>
      <c r="J20" s="5" t="inlineStr"/>
      <c r="K20" s="5" t="inlineStr"/>
      <c r="L20" s="5" t="inlineStr"/>
      <c r="M20" s="4" t="inlineStr">
        <is>
          <t>.claude/skills/logistics-manager/SKILL.md:80; .claude/skills/purchasing-manager/SKILL.md:55</t>
        </is>
      </c>
      <c r="N20" s="4" t="inlineStr">
        <is>
          <t>Operations or Order Ops reviews. UBM launch June 2026 is the deadline driver on this lane.</t>
        </is>
      </c>
    </row>
    <row r="21">
      <c r="A21" s="3" t="inlineStr">
        <is>
          <t>Quality</t>
        </is>
      </c>
      <c r="B21" s="4" t="inlineStr">
        <is>
          <t>Customer complaint intake, classification and first response</t>
        </is>
      </c>
      <c r="C21" s="5" t="inlineStr"/>
      <c r="D21" s="5" t="inlineStr"/>
      <c r="E21" s="7" t="inlineStr">
        <is>
          <t>A/R</t>
        </is>
      </c>
      <c r="F21" s="5" t="inlineStr">
        <is>
          <t>C</t>
        </is>
      </c>
      <c r="G21" s="5" t="inlineStr"/>
      <c r="H21" s="5" t="inlineStr"/>
      <c r="I21" s="5" t="inlineStr"/>
      <c r="J21" s="5" t="inlineStr"/>
      <c r="K21" s="5" t="inlineStr"/>
      <c r="L21" s="5" t="inlineStr">
        <is>
          <t>I</t>
        </is>
      </c>
      <c r="M21" s="4" t="inlineStr">
        <is>
          <t>.claude/skills/complaint-and-event-handler/SKILL.md:20,53</t>
        </is>
      </c>
      <c r="N21" s="4" t="inlineStr">
        <is>
          <t>HITL on every write. Operator approves classification plus first response. A and R both AB.</t>
        </is>
      </c>
    </row>
    <row r="22">
      <c r="A22" s="3" t="inlineStr">
        <is>
          <t>Quality</t>
        </is>
      </c>
      <c r="B22" s="4" t="inlineStr">
        <is>
          <t>Complaint trend analysis by SKU and batch</t>
        </is>
      </c>
      <c r="C22" s="5" t="inlineStr"/>
      <c r="D22" s="5" t="inlineStr"/>
      <c r="E22" s="6" t="inlineStr">
        <is>
          <t>R</t>
        </is>
      </c>
      <c r="F22" s="7" t="inlineStr">
        <is>
          <t>A</t>
        </is>
      </c>
      <c r="G22" s="5" t="inlineStr"/>
      <c r="H22" s="5" t="inlineStr"/>
      <c r="I22" s="5" t="inlineStr"/>
      <c r="J22" s="5" t="inlineStr"/>
      <c r="K22" s="5" t="inlineStr"/>
      <c r="L22" s="5" t="inlineStr">
        <is>
          <t>C</t>
        </is>
      </c>
      <c r="M22" s="4" t="inlineStr">
        <is>
          <t>.claude/skills/quality-manager/references/role-map.md:15</t>
        </is>
      </c>
      <c r="N22" s="4" t="inlineStr">
        <is>
          <t>Voice of Customer holds gates on complaint classification and complaint-driven escalations.</t>
        </is>
      </c>
    </row>
    <row r="23">
      <c r="A23" s="3" t="inlineStr">
        <is>
          <t>Quality</t>
        </is>
      </c>
      <c r="B23" s="4" t="inlineStr">
        <is>
          <t>NCR and CAPA lifecycle, intake through close (SKN-OPS-001)</t>
        </is>
      </c>
      <c r="C23" s="5" t="inlineStr"/>
      <c r="D23" s="5" t="inlineStr">
        <is>
          <t>I</t>
        </is>
      </c>
      <c r="E23" s="6" t="inlineStr">
        <is>
          <t>R</t>
        </is>
      </c>
      <c r="F23" s="5" t="inlineStr">
        <is>
          <t>C</t>
        </is>
      </c>
      <c r="G23" s="5" t="inlineStr"/>
      <c r="H23" s="5" t="inlineStr"/>
      <c r="I23" s="5" t="inlineStr"/>
      <c r="J23" s="5" t="inlineStr"/>
      <c r="K23" s="5" t="inlineStr"/>
      <c r="L23" s="7" t="inlineStr">
        <is>
          <t>A</t>
        </is>
      </c>
      <c r="M23" s="4" t="inlineStr">
        <is>
          <t>.claude/skills/capa-coordinator/SKILL.md:54,136; .claude/skills/capa-coordinator/references/ncr-procedure.md:135; .claude/skills/capa-coordinator/references/skn-ops-001.md:64,102</t>
        </is>
      </c>
      <c r="N23" s="4" t="inlineStr">
        <is>
          <t>Operator approves intake and both action plans; QA Lead approves conversion, root cause, verification, effectiveness and close. Six SOP phases, one external contractor on every technical gate.</t>
        </is>
      </c>
    </row>
    <row r="24">
      <c r="A24" s="3" t="inlineStr">
        <is>
          <t>Quality</t>
        </is>
      </c>
      <c r="B24" s="4" t="inlineStr">
        <is>
          <t>Lab finding intake and OOS / OOT classification (SKN-OPS-006)</t>
        </is>
      </c>
      <c r="C24" s="5" t="inlineStr"/>
      <c r="D24" s="5" t="inlineStr"/>
      <c r="E24" s="7" t="inlineStr">
        <is>
          <t>A/R</t>
        </is>
      </c>
      <c r="F24" s="5" t="inlineStr"/>
      <c r="G24" s="5" t="inlineStr"/>
      <c r="H24" s="5" t="inlineStr"/>
      <c r="I24" s="5" t="inlineStr"/>
      <c r="J24" s="5" t="inlineStr"/>
      <c r="K24" s="5" t="inlineStr"/>
      <c r="L24" s="5" t="inlineStr">
        <is>
          <t>C</t>
        </is>
      </c>
      <c r="M24" s="4" t="inlineStr">
        <is>
          <t>.claude/skills/quality-lab-coordinator/SKILL.md:48,56</t>
        </is>
      </c>
      <c r="N24" s="4" t="inlineStr">
        <is>
          <t>Operator approves intake and the single-versus-systemic classification. A and R both AB.</t>
        </is>
      </c>
    </row>
    <row r="25">
      <c r="A25" s="3" t="inlineStr">
        <is>
          <t>Quality</t>
        </is>
      </c>
      <c r="B25" s="4" t="inlineStr">
        <is>
          <t>Vendor quality flag and scorecard signal back to Purchasing</t>
        </is>
      </c>
      <c r="C25" s="5" t="inlineStr"/>
      <c r="D25" s="5" t="inlineStr"/>
      <c r="E25" s="6" t="inlineStr">
        <is>
          <t>R</t>
        </is>
      </c>
      <c r="F25" s="5" t="inlineStr"/>
      <c r="G25" s="5" t="inlineStr"/>
      <c r="H25" s="5" t="inlineStr"/>
      <c r="I25" s="5" t="inlineStr"/>
      <c r="J25" s="5" t="inlineStr"/>
      <c r="K25" s="5" t="inlineStr"/>
      <c r="L25" s="7" t="inlineStr">
        <is>
          <t>A</t>
        </is>
      </c>
      <c r="M25" s="4" t="inlineStr">
        <is>
          <t>.claude/skills/quality-lab-coordinator/SKILL.md:76; .claude/skills/quality-lab-coordinator/references/vendor-scorecard-signal.md:103</t>
        </is>
      </c>
      <c r="N25" s="4" t="inlineStr">
        <is>
          <t>QA Lead approves any vendor flag and the scorecard band. Operator can stage but not commit.</t>
        </is>
      </c>
    </row>
    <row r="26">
      <c r="A26" s="3" t="inlineStr">
        <is>
          <t>Quality</t>
        </is>
      </c>
      <c r="B26" s="4" t="inlineStr">
        <is>
          <t>Batch hold and release (SKN-OPS-007)</t>
        </is>
      </c>
      <c r="C26" s="5" t="inlineStr"/>
      <c r="D26" s="5" t="inlineStr">
        <is>
          <t>I</t>
        </is>
      </c>
      <c r="E26" s="6" t="inlineStr">
        <is>
          <t>R</t>
        </is>
      </c>
      <c r="F26" s="5" t="inlineStr">
        <is>
          <t>C</t>
        </is>
      </c>
      <c r="G26" s="5" t="inlineStr"/>
      <c r="H26" s="5" t="inlineStr"/>
      <c r="I26" s="5" t="inlineStr"/>
      <c r="J26" s="5" t="inlineStr"/>
      <c r="K26" s="5" t="inlineStr"/>
      <c r="L26" s="7" t="inlineStr">
        <is>
          <t>A</t>
        </is>
      </c>
      <c r="M26" s="4" t="inlineStr">
        <is>
          <t>.claude/skills/batch-lifecycle-tracker/references/batch-lifecycle-procedure.md:208; .claude/skills/batch-lifecycle-tracker/SKILL.md:86</t>
        </is>
      </c>
      <c r="N26" s="4" t="inlineStr">
        <is>
          <t>QA Lead approves every hold and every release. No exceptions at v5.4. Releases need a CAPA close or clean retest plus QA Lead judgment.</t>
        </is>
      </c>
    </row>
    <row r="27">
      <c r="A27" s="3" t="inlineStr">
        <is>
          <t>Quality</t>
        </is>
      </c>
      <c r="B27" s="4" t="inlineStr">
        <is>
          <t>In-market stability scheduling and near-expiry decisions</t>
        </is>
      </c>
      <c r="C27" s="5" t="inlineStr"/>
      <c r="D27" s="5" t="inlineStr"/>
      <c r="E27" s="7" t="inlineStr">
        <is>
          <t>A/R</t>
        </is>
      </c>
      <c r="F27" s="5" t="inlineStr"/>
      <c r="G27" s="5" t="inlineStr"/>
      <c r="H27" s="5" t="inlineStr"/>
      <c r="I27" s="5" t="inlineStr"/>
      <c r="J27" s="5" t="inlineStr"/>
      <c r="K27" s="5" t="inlineStr"/>
      <c r="L27" s="5" t="inlineStr">
        <is>
          <t>C</t>
        </is>
      </c>
      <c r="M27" s="4" t="inlineStr">
        <is>
          <t>.claude/skills/batch-lifecycle-tracker/SKILL.md:71,94</t>
        </is>
      </c>
      <c r="N27" s="4" t="inlineStr">
        <is>
          <t>Operator approves schedule edits and the 30-day near-expiry call; a stability skip needs QA Lead approval. A and R both AB.</t>
        </is>
      </c>
    </row>
    <row r="28">
      <c r="A28" s="3" t="inlineStr">
        <is>
          <t>Quality</t>
        </is>
      </c>
      <c r="B28" s="4" t="inlineStr">
        <is>
          <t>Serious adverse event triage and recall kickoff (SKN-OPS-002, SKN-OPS-003)</t>
        </is>
      </c>
      <c r="C28" s="5" t="inlineStr">
        <is>
          <t>I</t>
        </is>
      </c>
      <c r="D28" s="5" t="inlineStr">
        <is>
          <t>I</t>
        </is>
      </c>
      <c r="E28" s="7" t="inlineStr">
        <is>
          <t>A/R</t>
        </is>
      </c>
      <c r="F28" s="5" t="inlineStr">
        <is>
          <t>C</t>
        </is>
      </c>
      <c r="G28" s="5" t="inlineStr"/>
      <c r="H28" s="5" t="inlineStr"/>
      <c r="I28" s="5" t="inlineStr"/>
      <c r="J28" s="5" t="inlineStr"/>
      <c r="K28" s="5" t="inlineStr"/>
      <c r="L28" s="5" t="inlineStr">
        <is>
          <t>C</t>
        </is>
      </c>
      <c r="M28" s="4" t="inlineStr">
        <is>
          <t>.claude/skills/complaint-and-event-handler/SKILL.md:85,89,95</t>
        </is>
      </c>
      <c r="N28" s="4" t="inlineStr">
        <is>
          <t>The strictest gate in the suite: explicit approval at every step, §4.A through §4.F each a separate gate. Operator decides severity, team and whether external reporting is needed. A and R both AB.</t>
        </is>
      </c>
    </row>
    <row r="29">
      <c r="A29" s="3" t="inlineStr">
        <is>
          <t>Quality</t>
        </is>
      </c>
      <c r="B29" s="4" t="inlineStr">
        <is>
          <t>SOP ratification, annual review and cross-cutting quality tasks</t>
        </is>
      </c>
      <c r="C29" s="5" t="inlineStr"/>
      <c r="D29" s="5" t="inlineStr"/>
      <c r="E29" s="6" t="inlineStr">
        <is>
          <t>R</t>
        </is>
      </c>
      <c r="F29" s="5" t="inlineStr">
        <is>
          <t>C</t>
        </is>
      </c>
      <c r="G29" s="5" t="inlineStr"/>
      <c r="H29" s="5" t="inlineStr"/>
      <c r="I29" s="5" t="inlineStr"/>
      <c r="J29" s="5" t="inlineStr"/>
      <c r="K29" s="5" t="inlineStr"/>
      <c r="L29" s="7" t="inlineStr">
        <is>
          <t>A</t>
        </is>
      </c>
      <c r="M29" s="4" t="inlineStr">
        <is>
          <t>.claude/skills/quality-manager/SKILL.md:66,135; .claude/skills/quality-manager/references/sop-catalog.md:120; .claude/skills/quality-manager/references/qos-thresholds.md:52</t>
        </is>
      </c>
      <c r="N29" s="4" t="inlineStr">
        <is>
          <t>QA Lead approves every ratification, review outcome, cross-cutting task and QoS threshold task. SOP §7 names a QA Manager for this; that seat is vacant and Perrine is filling it.</t>
        </is>
      </c>
    </row>
    <row r="30">
      <c r="A30" s="3" t="inlineStr">
        <is>
          <t>Quality</t>
        </is>
      </c>
      <c r="B30" s="4" t="inlineStr">
        <is>
          <t>Quality dashboard publish to the landing hub</t>
        </is>
      </c>
      <c r="C30" s="5" t="inlineStr"/>
      <c r="D30" s="5" t="inlineStr"/>
      <c r="E30" s="7" t="inlineStr">
        <is>
          <t>A/R</t>
        </is>
      </c>
      <c r="F30" s="5" t="inlineStr">
        <is>
          <t>I</t>
        </is>
      </c>
      <c r="G30" s="5" t="inlineStr"/>
      <c r="H30" s="5" t="inlineStr"/>
      <c r="I30" s="5" t="inlineStr"/>
      <c r="J30" s="5" t="inlineStr"/>
      <c r="K30" s="5" t="inlineStr"/>
      <c r="L30" s="5" t="inlineStr">
        <is>
          <t>I</t>
        </is>
      </c>
      <c r="M30" s="4" t="inlineStr">
        <is>
          <t>.claude/skills/quality-status-reporter/SKILL.md:78</t>
        </is>
      </c>
      <c r="N30" s="4" t="inlineStr">
        <is>
          <t>Operator approves the commit before push. Never commit without confirmation. A and R both AB.</t>
        </is>
      </c>
    </row>
    <row r="31">
      <c r="A31" s="3" t="inlineStr">
        <is>
          <t>Regulatory &amp; Compliance</t>
        </is>
      </c>
      <c r="B31" s="4" t="inlineStr">
        <is>
          <t>Pre-launch ingredient list review gate (SKN-OPS-008)</t>
        </is>
      </c>
      <c r="C31" s="5" t="inlineStr"/>
      <c r="D31" s="5" t="inlineStr"/>
      <c r="E31" s="7" t="inlineStr">
        <is>
          <t>A/R</t>
        </is>
      </c>
      <c r="F31" s="5" t="inlineStr">
        <is>
          <t>I</t>
        </is>
      </c>
      <c r="G31" s="5" t="inlineStr"/>
      <c r="H31" s="5" t="inlineStr"/>
      <c r="I31" s="5" t="inlineStr"/>
      <c r="J31" s="5" t="inlineStr"/>
      <c r="K31" s="5" t="inlineStr"/>
      <c r="L31" s="5" t="inlineStr">
        <is>
          <t>C</t>
        </is>
      </c>
      <c r="M31" s="4" t="inlineStr">
        <is>
          <t>.claude/skills/claims-il-and-label-keeper/SKILL.md:50; .claude/skills/claims-il-and-label-keeper/references/il-claims-label-procedure.md:62</t>
        </is>
      </c>
      <c r="N31" s="4" t="inlineStr">
        <is>
          <t>Operator approves intake. Reg Lead is the same person at v6.6, so the gate fires twice against one person. Pedrero holds the binding external call. A and R both AB.</t>
        </is>
      </c>
    </row>
    <row r="32">
      <c r="A32" s="3" t="inlineStr">
        <is>
          <t>Regulatory &amp; Compliance</t>
        </is>
      </c>
      <c r="B32" s="4" t="inlineStr">
        <is>
          <t>Pedrero engagement and send approval</t>
        </is>
      </c>
      <c r="C32" s="5" t="inlineStr"/>
      <c r="D32" s="5" t="inlineStr"/>
      <c r="E32" s="7" t="inlineStr">
        <is>
          <t>A/R</t>
        </is>
      </c>
      <c r="F32" s="5" t="inlineStr"/>
      <c r="G32" s="5" t="inlineStr"/>
      <c r="H32" s="5" t="inlineStr"/>
      <c r="I32" s="5" t="inlineStr"/>
      <c r="J32" s="5" t="inlineStr"/>
      <c r="K32" s="5" t="inlineStr"/>
      <c r="L32" s="5" t="inlineStr">
        <is>
          <t>C</t>
        </is>
      </c>
      <c r="M32" s="4" t="inlineStr">
        <is>
          <t>.claude/skills/claims-il-and-label-keeper/SKILL.md:60; .claude/skills/regulatory-manager/SKILL.md:140</t>
        </is>
      </c>
      <c r="N32" s="4" t="inlineStr">
        <is>
          <t>Reg Lead approves every Pedrero send; Operator hits send manually. Both roles are Alvin. A and R both AB.</t>
        </is>
      </c>
    </row>
    <row r="33">
      <c r="A33" s="3" t="inlineStr">
        <is>
          <t>Regulatory &amp; Compliance</t>
        </is>
      </c>
      <c r="B33" s="4" t="inlineStr">
        <is>
          <t>Claim substantiation and new-claim defensibility</t>
        </is>
      </c>
      <c r="C33" s="5" t="inlineStr">
        <is>
          <t>I</t>
        </is>
      </c>
      <c r="D33" s="5" t="inlineStr"/>
      <c r="E33" s="7" t="inlineStr">
        <is>
          <t>A/R</t>
        </is>
      </c>
      <c r="F33" s="5" t="inlineStr"/>
      <c r="G33" s="5" t="inlineStr">
        <is>
          <t>C</t>
        </is>
      </c>
      <c r="H33" s="5" t="inlineStr"/>
      <c r="I33" s="5" t="inlineStr"/>
      <c r="J33" s="5" t="inlineStr"/>
      <c r="K33" s="5" t="inlineStr"/>
      <c r="L33" s="5" t="inlineStr">
        <is>
          <t>C</t>
        </is>
      </c>
      <c r="M33" s="4" t="inlineStr">
        <is>
          <t>.claude/skills/claims-il-and-label-keeper/SKILL.md:97; .claude/skills/claims-il-and-label-keeper/references/il-claims-label-procedure.md:29</t>
        </is>
      </c>
      <c r="N33" s="4" t="inlineStr">
        <is>
          <t>Operator approves the path; Reg Lead approves the Pedrero stage. The procedure exists because new claims from marketing or the founder used to skip Pedrero sign-off. A and R both AB.</t>
        </is>
      </c>
    </row>
    <row r="34">
      <c r="A34" s="3" t="inlineStr">
        <is>
          <t>Regulatory &amp; Compliance</t>
        </is>
      </c>
      <c r="B34" s="4" t="inlineStr">
        <is>
          <t>Label artwork archive, IL cross-check and label-law checks (Pantone, Canada, Quebec, 19-state toxics)</t>
        </is>
      </c>
      <c r="C34" s="5" t="inlineStr"/>
      <c r="D34" s="5" t="inlineStr"/>
      <c r="E34" s="7" t="inlineStr">
        <is>
          <t>A</t>
        </is>
      </c>
      <c r="F34" s="5" t="inlineStr"/>
      <c r="G34" s="5" t="inlineStr"/>
      <c r="H34" s="5" t="inlineStr"/>
      <c r="I34" s="6" t="inlineStr">
        <is>
          <t>R</t>
        </is>
      </c>
      <c r="J34" s="5" t="inlineStr"/>
      <c r="K34" s="5" t="inlineStr">
        <is>
          <t>C</t>
        </is>
      </c>
      <c r="L34" s="5" t="inlineStr">
        <is>
          <t>C</t>
        </is>
      </c>
      <c r="M34" s="4" t="inlineStr">
        <is>
          <t>.claude/skills/claims-il-and-label-keeper/SKILL.md:85; .claude/skills/claims-il-and-label-keeper/references/il-claims-label-procedure.md:93</t>
        </is>
      </c>
      <c r="N34" s="4" t="inlineStr">
        <is>
          <t>Operator approves each pass outcome; Reg Lead approves any archive entry. Creative produces the artwork under review.</t>
        </is>
      </c>
    </row>
    <row r="35">
      <c r="A35" s="3" t="inlineStr">
        <is>
          <t>Regulatory &amp; Compliance</t>
        </is>
      </c>
      <c r="B35" s="4" t="inlineStr">
        <is>
          <t>Reformulation claim bridge when a SKU reformulates without QIL parity</t>
        </is>
      </c>
      <c r="C35" s="5" t="inlineStr"/>
      <c r="D35" s="5" t="inlineStr"/>
      <c r="E35" s="7" t="inlineStr">
        <is>
          <t>A</t>
        </is>
      </c>
      <c r="F35" s="5" t="inlineStr">
        <is>
          <t>C</t>
        </is>
      </c>
      <c r="G35" s="5" t="inlineStr"/>
      <c r="H35" s="5" t="inlineStr"/>
      <c r="I35" s="5" t="inlineStr"/>
      <c r="J35" s="5" t="inlineStr"/>
      <c r="K35" s="5" t="inlineStr"/>
      <c r="L35" s="6" t="inlineStr">
        <is>
          <t>R</t>
        </is>
      </c>
      <c r="M35" s="4" t="inlineStr">
        <is>
          <t>.claude/skills/claims-il-and-label-keeper/references/il-claims-label-procedure.md:281</t>
        </is>
      </c>
      <c r="N35" s="4" t="inlineStr">
        <is>
          <t>Reg Lead approves the QIL recovery ask to the prior manufacturer; PD Lead does the formulation work.</t>
        </is>
      </c>
    </row>
    <row r="36">
      <c r="A36" s="3" t="inlineStr">
        <is>
          <t>Regulatory &amp; Compliance</t>
        </is>
      </c>
      <c r="B36" s="4" t="inlineStr">
        <is>
          <t>Retailer attestation responses (Sephora, Ulta, Whole Foods, Credo)</t>
        </is>
      </c>
      <c r="C36" s="5" t="inlineStr"/>
      <c r="D36" s="5" t="inlineStr">
        <is>
          <t>I</t>
        </is>
      </c>
      <c r="E36" s="7" t="inlineStr">
        <is>
          <t>A/R</t>
        </is>
      </c>
      <c r="F36" s="5" t="inlineStr">
        <is>
          <t>C</t>
        </is>
      </c>
      <c r="G36" s="5" t="inlineStr"/>
      <c r="H36" s="5" t="inlineStr"/>
      <c r="I36" s="5" t="inlineStr"/>
      <c r="J36" s="5" t="inlineStr"/>
      <c r="K36" s="5" t="inlineStr"/>
      <c r="L36" s="5" t="inlineStr">
        <is>
          <t>C</t>
        </is>
      </c>
      <c r="M36" s="4" t="inlineStr">
        <is>
          <t>.claude/skills/claims-il-and-label-keeper/SKILL.md:105; .claude/skills/regulatory-manager/SKILL.md:122</t>
        </is>
      </c>
      <c r="N36" s="4" t="inlineStr">
        <is>
          <t>Reg Lead approves the retailer submission after Pedrero approval. Voice of Customer consults where customer-perceived attributes matter. A and R both AB.</t>
        </is>
      </c>
    </row>
    <row r="37">
      <c r="A37" s="3" t="inlineStr">
        <is>
          <t>Regulatory &amp; Compliance</t>
        </is>
      </c>
      <c r="B37" s="4" t="inlineStr">
        <is>
          <t>MoCRA registrations, state filings and Leaping Bunny renewal</t>
        </is>
      </c>
      <c r="C37" s="5" t="inlineStr"/>
      <c r="D37" s="5" t="inlineStr"/>
      <c r="E37" s="7" t="inlineStr">
        <is>
          <t>A/R</t>
        </is>
      </c>
      <c r="F37" s="5" t="inlineStr"/>
      <c r="G37" s="5" t="inlineStr">
        <is>
          <t>I</t>
        </is>
      </c>
      <c r="H37" s="5" t="inlineStr"/>
      <c r="I37" s="5" t="inlineStr"/>
      <c r="J37" s="5" t="inlineStr"/>
      <c r="K37" s="5" t="inlineStr"/>
      <c r="L37" s="5" t="inlineStr">
        <is>
          <t>I</t>
        </is>
      </c>
      <c r="M37" s="4" t="inlineStr">
        <is>
          <t>.claude/skills/regulatory-manager/SKILL.md:114,367</t>
        </is>
      </c>
      <c r="N37" s="4" t="inlineStr">
        <is>
          <t>Operator approves the filing draft; Reg Lead approves every registration record write. Both roles are Alvin. A and R both AB.</t>
        </is>
      </c>
    </row>
    <row r="38">
      <c r="A38" s="3" t="inlineStr">
        <is>
          <t>Regulatory &amp; Compliance</t>
        </is>
      </c>
      <c r="B38" s="4" t="inlineStr">
        <is>
          <t>SAE and recall agency filings, including the 15-day MoCRA clock (SKN-OPS-009)</t>
        </is>
      </c>
      <c r="C38" s="5" t="inlineStr">
        <is>
          <t>I</t>
        </is>
      </c>
      <c r="D38" s="5" t="inlineStr">
        <is>
          <t>I</t>
        </is>
      </c>
      <c r="E38" s="7" t="inlineStr">
        <is>
          <t>A/R</t>
        </is>
      </c>
      <c r="F38" s="5" t="inlineStr">
        <is>
          <t>C</t>
        </is>
      </c>
      <c r="G38" s="5" t="inlineStr"/>
      <c r="H38" s="5" t="inlineStr"/>
      <c r="I38" s="5" t="inlineStr"/>
      <c r="J38" s="5" t="inlineStr"/>
      <c r="K38" s="5" t="inlineStr"/>
      <c r="L38" s="5" t="inlineStr">
        <is>
          <t>C</t>
        </is>
      </c>
      <c r="M38" s="4" t="inlineStr">
        <is>
          <t>.claude/skills/adverse-event-and-recall-reporter/SKILL.md:65,108</t>
        </is>
      </c>
      <c r="N38" s="4" t="inlineStr">
        <is>
          <t>Two distinct gates per filing - Pedrero send approval and agency submission approval - both held by Alvin. Statutory clock with no named backup. A and R both AB.</t>
        </is>
      </c>
    </row>
    <row r="39">
      <c r="A39" s="3" t="inlineStr">
        <is>
          <t>Regulatory &amp; Compliance</t>
        </is>
      </c>
      <c r="B39" s="4" t="inlineStr">
        <is>
          <t>Regulatory fan-out routing and the regulatory dashboard publish</t>
        </is>
      </c>
      <c r="C39" s="5" t="inlineStr"/>
      <c r="D39" s="5" t="inlineStr"/>
      <c r="E39" s="7" t="inlineStr">
        <is>
          <t>A/R</t>
        </is>
      </c>
      <c r="F39" s="5" t="inlineStr">
        <is>
          <t>I</t>
        </is>
      </c>
      <c r="G39" s="5" t="inlineStr"/>
      <c r="H39" s="5" t="inlineStr"/>
      <c r="I39" s="5" t="inlineStr"/>
      <c r="J39" s="5" t="inlineStr"/>
      <c r="K39" s="5" t="inlineStr"/>
      <c r="L39" s="5" t="inlineStr">
        <is>
          <t>C</t>
        </is>
      </c>
      <c r="M39" s="4" t="inlineStr">
        <is>
          <t>.claude/skills/regulatory-manager/SKILL.md:60; .claude/skills/regulatory-status-reporter/SKILL.md:90</t>
        </is>
      </c>
      <c r="N39" s="4" t="inlineStr">
        <is>
          <t>Two gates per fan-out (Operator for the routing call, Reg Lead for task creation), both Alvin. Operator approves the dashboard commit before push. A and R both AB.</t>
        </is>
      </c>
    </row>
    <row r="40">
      <c r="A40" s="3" t="inlineStr">
        <is>
          <t>Retail &amp; Wholesale</t>
        </is>
      </c>
      <c r="B40" s="4" t="inlineStr">
        <is>
          <t>Retailer and reseller first contact</t>
        </is>
      </c>
      <c r="C40" s="5" t="inlineStr"/>
      <c r="D40" s="5" t="inlineStr">
        <is>
          <t>I</t>
        </is>
      </c>
      <c r="E40" s="5" t="inlineStr">
        <is>
          <t>C</t>
        </is>
      </c>
      <c r="F40" s="7" t="inlineStr">
        <is>
          <t>A/R</t>
        </is>
      </c>
      <c r="G40" s="5" t="inlineStr"/>
      <c r="H40" s="5" t="inlineStr"/>
      <c r="I40" s="5" t="inlineStr"/>
      <c r="J40" s="5" t="inlineStr"/>
      <c r="K40" s="5" t="inlineStr"/>
      <c r="L40" s="5" t="inlineStr"/>
      <c r="M40" s="4" t="inlineStr">
        <is>
          <t>.claude/skills/purchasing-manager/SKILL.md:55</t>
        </is>
      </c>
      <c r="N40" s="4" t="inlineStr">
        <is>
          <t>First-contact owner for retailer, promotional_goods and accessories vendor types is the Sr. Director Consumer Strategy &amp; Ops. A and R both NI.</t>
        </is>
      </c>
    </row>
    <row r="41">
      <c r="A41" s="3" t="inlineStr">
        <is>
          <t>Retail &amp; Wholesale</t>
        </is>
      </c>
      <c r="B41" s="4" t="inlineStr">
        <is>
          <t>Retail channel launch programs: UBM cohort positioning, price ladder, Amazon Vendor</t>
        </is>
      </c>
      <c r="C41" s="5" t="inlineStr"/>
      <c r="D41" s="5" t="inlineStr">
        <is>
          <t>I</t>
        </is>
      </c>
      <c r="E41" s="6" t="inlineStr">
        <is>
          <t>R</t>
        </is>
      </c>
      <c r="F41" s="7" t="inlineStr">
        <is>
          <t>A</t>
        </is>
      </c>
      <c r="G41" s="5" t="inlineStr">
        <is>
          <t>C</t>
        </is>
      </c>
      <c r="H41" s="5" t="inlineStr"/>
      <c r="I41" s="5" t="inlineStr"/>
      <c r="J41" s="5" t="inlineStr"/>
      <c r="K41" s="5" t="inlineStr"/>
      <c r="L41" s="5" t="inlineStr"/>
      <c r="M41" s="4" t="inlineStr">
        <is>
          <t>.claude/skills/purchasing-manager/SKILL.md:55; .claude/skills/sjs-retail-intel/SKILL.md:52; .claude/skills/logistics-manager/SKILL.md:80</t>
        </is>
      </c>
      <c r="N41" s="4" t="inlineStr">
        <is>
          <t>UBM launch June 2026. Nicole holds the channel relationship; Alvin runs the positioning and outbound work.</t>
        </is>
      </c>
    </row>
    <row r="42">
      <c r="A42" s="3" t="inlineStr">
        <is>
          <t>Marketing &amp; Brand</t>
        </is>
      </c>
      <c r="B42" s="4" t="inlineStr">
        <is>
          <t>Quarterly competitive teardowns across the five comp brands</t>
        </is>
      </c>
      <c r="C42" s="5" t="inlineStr"/>
      <c r="D42" s="5" t="inlineStr"/>
      <c r="E42" s="5" t="inlineStr">
        <is>
          <t>I</t>
        </is>
      </c>
      <c r="F42" s="5" t="inlineStr">
        <is>
          <t>C</t>
        </is>
      </c>
      <c r="G42" s="7" t="inlineStr">
        <is>
          <t>A/R</t>
        </is>
      </c>
      <c r="H42" s="5" t="inlineStr">
        <is>
          <t>C</t>
        </is>
      </c>
      <c r="I42" s="5" t="inlineStr"/>
      <c r="J42" s="5" t="inlineStr"/>
      <c r="K42" s="5" t="inlineStr"/>
      <c r="L42" s="5" t="inlineStr"/>
      <c r="M42" s="4" t="inlineStr">
        <is>
          <t>.claude/skills/sjs-comp-intel/references/team-ownership.md:19,23-30</t>
        </is>
      </c>
      <c r="N42" s="4" t="inlineStr">
        <is>
          <t>Soraya owns teardown production and comp brand profile maintenance. A and R both SS.</t>
        </is>
      </c>
    </row>
    <row r="43">
      <c r="A43" s="3" t="inlineStr">
        <is>
          <t>Marketing &amp; Brand</t>
        </is>
      </c>
      <c r="B43" s="4" t="inlineStr">
        <is>
          <t>Quarterly teardown sign-off before circulation</t>
        </is>
      </c>
      <c r="C43" s="5" t="inlineStr"/>
      <c r="D43" s="5" t="inlineStr">
        <is>
          <t>I</t>
        </is>
      </c>
      <c r="E43" s="7" t="inlineStr">
        <is>
          <t>A</t>
        </is>
      </c>
      <c r="F43" s="5" t="inlineStr">
        <is>
          <t>C</t>
        </is>
      </c>
      <c r="G43" s="6" t="inlineStr">
        <is>
          <t>R</t>
        </is>
      </c>
      <c r="H43" s="5" t="inlineStr"/>
      <c r="I43" s="5" t="inlineStr"/>
      <c r="J43" s="5" t="inlineStr"/>
      <c r="K43" s="5" t="inlineStr"/>
      <c r="L43" s="5" t="inlineStr"/>
      <c r="M43" s="4" t="inlineStr">
        <is>
          <t>.claude/skills/sjs-comp-intel/references/team-ownership.md:65; .claude/skills/sjs-comp-intel/SKILL.md:50</t>
        </is>
      </c>
      <c r="N43" s="4" t="inlineStr">
        <is>
          <t>Alvin signs off before it circulates to Danielle and the SJS brand team.</t>
        </is>
      </c>
    </row>
    <row r="44">
      <c r="A44" s="3" t="inlineStr">
        <is>
          <t>Marketing &amp; Brand</t>
        </is>
      </c>
      <c r="B44" s="4" t="inlineStr">
        <is>
          <t>Monthly competitive trend digest and cross-stream signal routing</t>
        </is>
      </c>
      <c r="C44" s="5" t="inlineStr"/>
      <c r="D44" s="5" t="inlineStr"/>
      <c r="E44" s="5" t="inlineStr">
        <is>
          <t>I</t>
        </is>
      </c>
      <c r="F44" s="7" t="inlineStr">
        <is>
          <t>A/R</t>
        </is>
      </c>
      <c r="G44" s="5" t="inlineStr">
        <is>
          <t>C</t>
        </is>
      </c>
      <c r="H44" s="5" t="inlineStr">
        <is>
          <t>C</t>
        </is>
      </c>
      <c r="I44" s="5" t="inlineStr"/>
      <c r="J44" s="5" t="inlineStr"/>
      <c r="K44" s="5" t="inlineStr"/>
      <c r="L44" s="5" t="inlineStr"/>
      <c r="M44" s="4" t="inlineStr">
        <is>
          <t>.claude/skills/sjs-comp-intel/references/team-ownership.md:3,9-15</t>
        </is>
      </c>
      <c r="N44" s="4" t="inlineStr">
        <is>
          <t>Stream DRI owns digest production and the 'what it means for SJS' analytical layer. Named as the stream's heartbeat - first thing protected under capacity pressure. A and R both NI.</t>
        </is>
      </c>
    </row>
    <row r="45">
      <c r="A45" s="3" t="inlineStr">
        <is>
          <t>Marketing &amp; Brand</t>
        </is>
      </c>
      <c r="B45" s="4" t="inlineStr">
        <is>
          <t>Social listening and comp brand monitoring (TikTok, IG, Pinterest, retailer new arrivals)</t>
        </is>
      </c>
      <c r="C45" s="5" t="inlineStr"/>
      <c r="D45" s="5" t="inlineStr"/>
      <c r="E45" s="5" t="inlineStr"/>
      <c r="F45" s="5" t="inlineStr"/>
      <c r="G45" s="5" t="inlineStr">
        <is>
          <t>C</t>
        </is>
      </c>
      <c r="H45" s="7" t="inlineStr">
        <is>
          <t>A/R</t>
        </is>
      </c>
      <c r="I45" s="5" t="inlineStr"/>
      <c r="J45" s="5" t="inlineStr"/>
      <c r="K45" s="5" t="inlineStr"/>
      <c r="L45" s="5" t="inlineStr"/>
      <c r="M45" s="4" t="inlineStr">
        <is>
          <t>.claude/skills/sjs-comp-intel/references/team-ownership.md:34,40-44</t>
        </is>
      </c>
      <c r="N45" s="4" t="inlineStr">
        <is>
          <t>Kate owns social listening tool maintenance, query hygiene and the weekly retailer new-arrivals scan. A and R both KL.</t>
        </is>
      </c>
    </row>
    <row r="46">
      <c r="A46" s="3" t="inlineStr">
        <is>
          <t>Marketing &amp; Brand</t>
        </is>
      </c>
      <c r="B46" s="4" t="inlineStr">
        <is>
          <t>Brand guideline custody (fonts, colors, logos, voice)</t>
        </is>
      </c>
      <c r="C46" s="5" t="inlineStr">
        <is>
          <t>I</t>
        </is>
      </c>
      <c r="D46" s="5" t="inlineStr"/>
      <c r="E46" s="5" t="inlineStr"/>
      <c r="F46" s="5" t="inlineStr"/>
      <c r="G46" s="5" t="inlineStr">
        <is>
          <t>C</t>
        </is>
      </c>
      <c r="H46" s="5" t="inlineStr"/>
      <c r="I46" s="7" t="inlineStr">
        <is>
          <t>A</t>
        </is>
      </c>
      <c r="J46" s="6" t="inlineStr">
        <is>
          <t>R</t>
        </is>
      </c>
      <c r="K46" s="5" t="inlineStr"/>
      <c r="L46" s="5" t="inlineStr"/>
      <c r="M46" s="4" t="inlineStr">
        <is>
          <t>.claude/skills/sweet-july-skin-brand/SKILL.md:1; references/architecture/system_map.md:157</t>
        </is>
      </c>
      <c r="N46" s="4" t="inlineStr">
        <is>
          <t>Every output-producing skill defers here for canonical brand spec; no skill carries its own copy.</t>
        </is>
      </c>
    </row>
    <row r="47">
      <c r="A47" s="3" t="inlineStr">
        <is>
          <t>Marketing &amp; Brand</t>
        </is>
      </c>
      <c r="B47" s="4" t="inlineStr">
        <is>
          <t>Annual team holiday communications (11 sends across 3 templates)</t>
        </is>
      </c>
      <c r="C47" s="5" t="inlineStr"/>
      <c r="D47" s="5" t="inlineStr">
        <is>
          <t>I</t>
        </is>
      </c>
      <c r="E47" s="7" t="inlineStr">
        <is>
          <t>A/R</t>
        </is>
      </c>
      <c r="F47" s="5" t="inlineStr">
        <is>
          <t>I</t>
        </is>
      </c>
      <c r="G47" s="5" t="inlineStr">
        <is>
          <t>I</t>
        </is>
      </c>
      <c r="H47" s="5" t="inlineStr">
        <is>
          <t>I</t>
        </is>
      </c>
      <c r="I47" s="5" t="inlineStr"/>
      <c r="J47" s="5" t="inlineStr">
        <is>
          <t>I</t>
        </is>
      </c>
      <c r="K47" s="5" t="inlineStr"/>
      <c r="L47" s="5" t="inlineStr"/>
      <c r="M47" s="4" t="inlineStr">
        <is>
          <t>.claude/skills/ac-brands-holiday-comms/SKILL.md:26,165</t>
        </is>
      </c>
      <c r="N47" s="4" t="inlineStr">
        <is>
          <t>Sends from alvin@ac-brands.com with the team on BCC. Includes the Outlook calendar sync and annual maintenance. A and R both AB.</t>
        </is>
      </c>
    </row>
    <row r="48">
      <c r="A48" s="3" t="inlineStr">
        <is>
          <t>Marketing &amp; Brand</t>
        </is>
      </c>
      <c r="B48" s="4" t="inlineStr">
        <is>
          <t>Weekly founder briefing, Slides 5 and 6</t>
        </is>
      </c>
      <c r="C48" s="5" t="inlineStr">
        <is>
          <t>I</t>
        </is>
      </c>
      <c r="D48" s="5" t="inlineStr">
        <is>
          <t>I</t>
        </is>
      </c>
      <c r="E48" s="7" t="inlineStr">
        <is>
          <t>A/R</t>
        </is>
      </c>
      <c r="F48" s="5" t="inlineStr">
        <is>
          <t>C</t>
        </is>
      </c>
      <c r="G48" s="5" t="inlineStr"/>
      <c r="H48" s="5" t="inlineStr"/>
      <c r="I48" s="5" t="inlineStr"/>
      <c r="J48" s="5" t="inlineStr"/>
      <c r="K48" s="5" t="inlineStr"/>
      <c r="L48" s="5" t="inlineStr">
        <is>
          <t>C</t>
        </is>
      </c>
      <c r="M48" s="4" t="inlineStr">
        <is>
          <t>.claude/skills/ayesha-weekly-briefing/SKILL.md:49,72</t>
        </is>
      </c>
      <c r="N48" s="4" t="inlineStr">
        <is>
          <t>Alvin owns both Slide 5 (Business Operations) and Slide 6 PD-Ops content; Nicole co-authors Slide 6 with her core PD content. A and R both AB.</t>
        </is>
      </c>
    </row>
    <row r="49">
      <c r="A49" s="3" t="inlineStr">
        <is>
          <t>Creative</t>
        </is>
      </c>
      <c r="B49" s="4" t="inlineStr">
        <is>
          <t>Creative direction on packaging, artwork and brand visuals</t>
        </is>
      </c>
      <c r="C49" s="5" t="inlineStr"/>
      <c r="D49" s="5" t="inlineStr"/>
      <c r="E49" s="5" t="inlineStr"/>
      <c r="F49" s="5" t="inlineStr"/>
      <c r="G49" s="5" t="inlineStr">
        <is>
          <t>C</t>
        </is>
      </c>
      <c r="H49" s="5" t="inlineStr"/>
      <c r="I49" s="7" t="inlineStr">
        <is>
          <t>A/R</t>
        </is>
      </c>
      <c r="J49" s="5" t="inlineStr">
        <is>
          <t>C</t>
        </is>
      </c>
      <c r="K49" s="5" t="inlineStr"/>
      <c r="L49" s="5" t="inlineStr"/>
      <c r="M49" s="4" t="inlineStr">
        <is>
          <t>.claude/skills/asana-pd-manager/references/role-map.md:22</t>
        </is>
      </c>
      <c r="N49" s="4" t="inlineStr">
        <is>
          <t>Creative Director owns packaging, artwork and brand visuals. A and R both EH.</t>
        </is>
      </c>
    </row>
    <row r="50">
      <c r="A50" s="3" t="inlineStr">
        <is>
          <t>Creative</t>
        </is>
      </c>
      <c r="B50" s="4" t="inlineStr">
        <is>
          <t>Packaging and artwork execution</t>
        </is>
      </c>
      <c r="C50" s="5" t="inlineStr"/>
      <c r="D50" s="5" t="inlineStr"/>
      <c r="E50" s="5" t="inlineStr">
        <is>
          <t>I</t>
        </is>
      </c>
      <c r="F50" s="5" t="inlineStr"/>
      <c r="G50" s="5" t="inlineStr"/>
      <c r="H50" s="5" t="inlineStr"/>
      <c r="I50" s="7" t="inlineStr">
        <is>
          <t>A</t>
        </is>
      </c>
      <c r="J50" s="5" t="inlineStr"/>
      <c r="K50" s="6" t="inlineStr">
        <is>
          <t>R</t>
        </is>
      </c>
      <c r="L50" s="5" t="inlineStr">
        <is>
          <t>C</t>
        </is>
      </c>
      <c r="M50" s="4" t="inlineStr">
        <is>
          <t>.claude/skills/asana-pd-manager/references/role-map.md:23; .claude/skills/sjs-comp-intel/references/team-ownership.md:79</t>
        </is>
      </c>
      <c r="N50" s="4" t="inlineStr">
        <is>
          <t>Jan is the creative contractor under Erin. Title differs between sources - Packaging Engineer in one, creative contractor in the other.</t>
        </is>
      </c>
    </row>
    <row r="51">
      <c r="A51" s="3" t="inlineStr">
        <is>
          <t>Creative</t>
        </is>
      </c>
      <c r="B51" s="4" t="inlineStr">
        <is>
          <t>Creative Requests intake and design coordination</t>
        </is>
      </c>
      <c r="C51" s="5" t="inlineStr"/>
      <c r="D51" s="5" t="inlineStr"/>
      <c r="E51" s="5" t="inlineStr"/>
      <c r="F51" s="5" t="inlineStr"/>
      <c r="G51" s="5" t="inlineStr">
        <is>
          <t>C</t>
        </is>
      </c>
      <c r="H51" s="5" t="inlineStr"/>
      <c r="I51" s="5" t="inlineStr">
        <is>
          <t>C</t>
        </is>
      </c>
      <c r="J51" s="7" t="inlineStr">
        <is>
          <t>A/R</t>
        </is>
      </c>
      <c r="K51" s="5" t="inlineStr"/>
      <c r="L51" s="5" t="inlineStr"/>
      <c r="M51" s="4" t="inlineStr">
        <is>
          <t>.claude/skills/sjs-status-reporter/SKILL.md:352; .claude/skills/asana-pd-manager/references/role-map.md:24</t>
        </is>
      </c>
      <c r="N51" s="4" t="inlineStr">
        <is>
          <t>Creative Requests Asana project owner is Ivy, Editorial/Design team. Ivy supports Erin and Jan. A and R both IT.</t>
        </is>
      </c>
    </row>
    <row r="52">
      <c r="A52" s="3" t="inlineStr">
        <is>
          <t>Ecommerce &amp; DTC</t>
        </is>
      </c>
      <c r="B52" s="4" t="inlineStr">
        <is>
          <t>Shopify revenue and channel position read</t>
        </is>
      </c>
      <c r="C52" s="5" t="inlineStr"/>
      <c r="D52" s="5" t="inlineStr">
        <is>
          <t>I</t>
        </is>
      </c>
      <c r="E52" s="7" t="inlineStr">
        <is>
          <t>A/R</t>
        </is>
      </c>
      <c r="F52" s="5" t="inlineStr">
        <is>
          <t>C</t>
        </is>
      </c>
      <c r="G52" s="5" t="inlineStr"/>
      <c r="H52" s="5" t="inlineStr"/>
      <c r="I52" s="5" t="inlineStr"/>
      <c r="J52" s="5" t="inlineStr"/>
      <c r="K52" s="5" t="inlineStr"/>
      <c r="L52" s="5" t="inlineStr"/>
      <c r="M52" s="4" t="inlineStr">
        <is>
          <t>connections.md:7; context/about-business.md:5</t>
        </is>
      </c>
      <c r="N52" s="4" t="inlineStr">
        <is>
          <t>INFERRED - no source names an owner. Shopify is registered as the revenue connection and named as the primary DTC revenue track, but no skill assigns ownership or a gate. A defaults to AB.</t>
        </is>
      </c>
    </row>
    <row r="53">
      <c r="A53" s="3" t="inlineStr">
        <is>
          <t>Ecommerce &amp; DTC</t>
        </is>
      </c>
      <c r="B53" s="4" t="inlineStr">
        <is>
          <t>Daily DTC fulfillment KPIs and the SJ Shipping Dashboard</t>
        </is>
      </c>
      <c r="C53" s="5" t="inlineStr"/>
      <c r="D53" s="5" t="inlineStr"/>
      <c r="E53" s="5" t="inlineStr">
        <is>
          <t>C</t>
        </is>
      </c>
      <c r="F53" s="7" t="inlineStr">
        <is>
          <t>A/R</t>
        </is>
      </c>
      <c r="G53" s="5" t="inlineStr"/>
      <c r="H53" s="5" t="inlineStr"/>
      <c r="I53" s="5" t="inlineStr"/>
      <c r="J53" s="5" t="inlineStr"/>
      <c r="K53" s="5" t="inlineStr"/>
      <c r="L53" s="5" t="inlineStr"/>
      <c r="M53" s="4" t="inlineStr">
        <is>
          <t>.claude/skills/oc3pl-order-manager/SKILL.md:61,191; .claude/skills/ayesha-weekly-briefing/SKILL.md:123</t>
        </is>
      </c>
      <c r="N53" s="4" t="inlineStr">
        <is>
          <t>Ex-Ops-Coordinator scope, now Nicole per the interim split. A and R both NI.</t>
        </is>
      </c>
    </row>
    <row r="54">
      <c r="A54" s="3" t="inlineStr">
        <is>
          <t>Finance</t>
        </is>
      </c>
      <c r="B54" s="4" t="inlineStr">
        <is>
          <t>Margin architecture framework and quarterly portfolio review</t>
        </is>
      </c>
      <c r="C54" s="5" t="inlineStr"/>
      <c r="D54" s="5" t="inlineStr">
        <is>
          <t>C</t>
        </is>
      </c>
      <c r="E54" s="7" t="inlineStr">
        <is>
          <t>A/R</t>
        </is>
      </c>
      <c r="F54" s="5" t="inlineStr">
        <is>
          <t>C</t>
        </is>
      </c>
      <c r="G54" s="5" t="inlineStr"/>
      <c r="H54" s="5" t="inlineStr"/>
      <c r="I54" s="5" t="inlineStr"/>
      <c r="J54" s="5" t="inlineStr"/>
      <c r="K54" s="5" t="inlineStr"/>
      <c r="L54" s="5" t="inlineStr"/>
      <c r="M54" s="4" t="inlineStr">
        <is>
          <t>.claude/skills/sjs-margin-architect/references/framework.md:209; .claude/skills/sjs-margin-portfolio-review/SKILL.md:1</t>
        </is>
      </c>
      <c r="N54" s="4" t="inlineStr">
        <is>
          <t>Framework reference plus the quarterly portfolio sweep and traffic-light report. A and R both AB.</t>
        </is>
      </c>
    </row>
    <row r="55">
      <c r="A55" s="3" t="inlineStr">
        <is>
          <t>Finance</t>
        </is>
      </c>
      <c r="B55" s="4" t="inlineStr">
        <is>
          <t>Per-SKU margin pressure-test against channel floors</t>
        </is>
      </c>
      <c r="C55" s="5" t="inlineStr"/>
      <c r="D55" s="5" t="inlineStr">
        <is>
          <t>I</t>
        </is>
      </c>
      <c r="E55" s="6" t="inlineStr">
        <is>
          <t>R</t>
        </is>
      </c>
      <c r="F55" s="5" t="inlineStr">
        <is>
          <t>C</t>
        </is>
      </c>
      <c r="G55" s="5" t="inlineStr">
        <is>
          <t>C</t>
        </is>
      </c>
      <c r="H55" s="5" t="inlineStr"/>
      <c r="I55" s="5" t="inlineStr"/>
      <c r="J55" s="5" t="inlineStr"/>
      <c r="K55" s="5" t="inlineStr"/>
      <c r="L55" s="7" t="inlineStr">
        <is>
          <t>A</t>
        </is>
      </c>
      <c r="M55" s="4" t="inlineStr">
        <is>
          <t>.claude/skills/sjs-margin-pressure-test/SKILL.md:93</t>
        </is>
      </c>
      <c r="N55" s="4" t="inlineStr">
        <is>
          <t>Flagged as Perrine and Soraya's call to ratify, with Alvin on admin, Nicole consulting and Danielle approving.</t>
        </is>
      </c>
    </row>
    <row r="56">
      <c r="A56" s="3" t="inlineStr">
        <is>
          <t>Finance</t>
        </is>
      </c>
      <c r="B56" s="4" t="inlineStr">
        <is>
          <t>Walk-away decision when a SKU breaks its channel floor</t>
        </is>
      </c>
      <c r="C56" s="5" t="inlineStr"/>
      <c r="D56" s="7" t="inlineStr">
        <is>
          <t>A</t>
        </is>
      </c>
      <c r="E56" s="6" t="inlineStr">
        <is>
          <t>R</t>
        </is>
      </c>
      <c r="F56" s="5" t="inlineStr">
        <is>
          <t>C</t>
        </is>
      </c>
      <c r="G56" s="5" t="inlineStr">
        <is>
          <t>C</t>
        </is>
      </c>
      <c r="H56" s="5" t="inlineStr"/>
      <c r="I56" s="5" t="inlineStr"/>
      <c r="J56" s="5" t="inlineStr"/>
      <c r="K56" s="5" t="inlineStr"/>
      <c r="L56" s="5" t="inlineStr">
        <is>
          <t>C</t>
        </is>
      </c>
      <c r="M56" s="4" t="inlineStr">
        <is>
          <t>.claude/skills/sjs-margin-walk-away/SKILL.md:93,105,118</t>
        </is>
      </c>
      <c r="N56" s="4" t="inlineStr">
        <is>
          <t>Danielle approves on three of the four paths. Alvin carries the work on all four.</t>
        </is>
      </c>
    </row>
    <row r="57">
      <c r="A57" s="3" t="inlineStr">
        <is>
          <t>Finance</t>
        </is>
      </c>
      <c r="B57" s="4" t="inlineStr">
        <is>
          <t>SKU archetype and Standard / Acquisition designation</t>
        </is>
      </c>
      <c r="C57" s="5" t="inlineStr"/>
      <c r="D57" s="5" t="inlineStr">
        <is>
          <t>I</t>
        </is>
      </c>
      <c r="E57" s="6" t="inlineStr">
        <is>
          <t>R</t>
        </is>
      </c>
      <c r="F57" s="5" t="inlineStr">
        <is>
          <t>C</t>
        </is>
      </c>
      <c r="G57" s="5" t="inlineStr"/>
      <c r="H57" s="5" t="inlineStr"/>
      <c r="I57" s="5" t="inlineStr"/>
      <c r="J57" s="5" t="inlineStr"/>
      <c r="K57" s="5" t="inlineStr"/>
      <c r="L57" s="7" t="inlineStr">
        <is>
          <t>A</t>
        </is>
      </c>
      <c r="M57" s="4" t="inlineStr">
        <is>
          <t>.claude/skills/sjs-margin-walk-away/SKILL.md:78</t>
        </is>
      </c>
      <c r="N57" s="4" t="inlineStr">
        <is>
          <t>Perrine as PD owner with Alvin on PD admin and sourcing; Nicole consults.</t>
        </is>
      </c>
    </row>
    <row r="58">
      <c r="A58" s="3" t="inlineStr">
        <is>
          <t>Finance</t>
        </is>
      </c>
      <c r="B58" s="4" t="inlineStr">
        <is>
          <t>Monthly and quarterly vendor cost rollups</t>
        </is>
      </c>
      <c r="C58" s="5" t="inlineStr"/>
      <c r="D58" s="5" t="inlineStr">
        <is>
          <t>I</t>
        </is>
      </c>
      <c r="E58" s="7" t="inlineStr">
        <is>
          <t>A/R</t>
        </is>
      </c>
      <c r="F58" s="5" t="inlineStr"/>
      <c r="G58" s="5" t="inlineStr"/>
      <c r="H58" s="5" t="inlineStr"/>
      <c r="I58" s="5" t="inlineStr"/>
      <c r="J58" s="5" t="inlineStr"/>
      <c r="K58" s="5" t="inlineStr"/>
      <c r="L58" s="5" t="inlineStr"/>
      <c r="M58" s="4" t="inlineStr">
        <is>
          <t>.claude/skills/regulatory-manager/SKILL.md:196; .claude/skills/purchasing-manager/SKILL.md:365</t>
        </is>
      </c>
      <c r="N58" s="4" t="inlineStr">
        <is>
          <t>regulatory-manager Jobs 8 and 9 read vendor_invoices directly; purchasing-manager has no rollup of its own. A and R both AB.</t>
        </is>
      </c>
    </row>
    <row r="59">
      <c r="A59" s="3" t="inlineStr">
        <is>
          <t>Finance</t>
        </is>
      </c>
      <c r="B59" s="4" t="inlineStr">
        <is>
          <t>Accounts payable, bookkeeping and payroll</t>
        </is>
      </c>
      <c r="C59" s="5" t="inlineStr"/>
      <c r="D59" s="5" t="inlineStr">
        <is>
          <t>C</t>
        </is>
      </c>
      <c r="E59" s="7" t="inlineStr">
        <is>
          <t>A/R</t>
        </is>
      </c>
      <c r="F59" s="5" t="inlineStr"/>
      <c r="G59" s="5" t="inlineStr"/>
      <c r="H59" s="5" t="inlineStr"/>
      <c r="I59" s="5" t="inlineStr"/>
      <c r="J59" s="5" t="inlineStr"/>
      <c r="K59" s="5" t="inlineStr"/>
      <c r="L59" s="5" t="inlineStr"/>
      <c r="M59" s="4" t="inlineStr"/>
      <c r="N59" s="4" t="inlineStr">
        <is>
          <t>INFERRED - no source. Finance appears only as an email-sender category (outlook-plm-bridge/SKILL.md:368) and a briefing heading (ayesha-weekly-briefing/SKILL.md:9). No owner, no approver, no gate anywhere in SJ-OS. A defaults to AB.</t>
        </is>
      </c>
    </row>
    <row r="60">
      <c r="A60" s="3" t="inlineStr">
        <is>
          <t>People &amp; Admin</t>
        </is>
      </c>
      <c r="B60" s="4" t="inlineStr">
        <is>
          <t>Hiring the Operations Specialist and the PD Project Manager Specialist</t>
        </is>
      </c>
      <c r="C60" s="5" t="inlineStr">
        <is>
          <t>I</t>
        </is>
      </c>
      <c r="D60" s="5" t="inlineStr">
        <is>
          <t>C</t>
        </is>
      </c>
      <c r="E60" s="7" t="inlineStr">
        <is>
          <t>A</t>
        </is>
      </c>
      <c r="F60" s="6" t="inlineStr">
        <is>
          <t>R</t>
        </is>
      </c>
      <c r="G60" s="5" t="inlineStr"/>
      <c r="H60" s="5" t="inlineStr"/>
      <c r="I60" s="5" t="inlineStr"/>
      <c r="J60" s="5" t="inlineStr"/>
      <c r="K60" s="5" t="inlineStr"/>
      <c r="L60" s="5" t="inlineStr"/>
      <c r="M60" s="4" t="inlineStr">
        <is>
          <t>decisions/log.md:52,58; context/priorities.md:3</t>
        </is>
      </c>
      <c r="N60" s="4" t="inlineStr">
        <is>
          <t>Both new roles report to Nicole. Decision owner recorded as Alvin, with Nicole on the two new roles once filled. Priority 1 of 2 this quarter.</t>
        </is>
      </c>
    </row>
    <row r="61">
      <c r="A61" s="3" t="inlineStr">
        <is>
          <t>People &amp; Admin</t>
        </is>
      </c>
      <c r="B61" s="4" t="inlineStr">
        <is>
          <t>Tool procurement, vendor renewals and shared-folder admin</t>
        </is>
      </c>
      <c r="C61" s="5" t="inlineStr"/>
      <c r="D61" s="5" t="inlineStr"/>
      <c r="E61" s="7" t="inlineStr">
        <is>
          <t>A/R</t>
        </is>
      </c>
      <c r="F61" s="5" t="inlineStr">
        <is>
          <t>C</t>
        </is>
      </c>
      <c r="G61" s="5" t="inlineStr"/>
      <c r="H61" s="5" t="inlineStr"/>
      <c r="I61" s="5" t="inlineStr"/>
      <c r="J61" s="5" t="inlineStr">
        <is>
          <t>C</t>
        </is>
      </c>
      <c r="K61" s="5" t="inlineStr"/>
      <c r="L61" s="5" t="inlineStr"/>
      <c r="M61" s="4" t="inlineStr">
        <is>
          <t>.claude/skills/sjs-comp-intel/references/team-ownership.md:50; .claude/skills/sjs-comp-intel/references/sequencing-plan.md:12</t>
        </is>
      </c>
      <c r="N61" s="4" t="inlineStr">
        <is>
          <t>Ex-Ops-Coordinator scope. Alvin carries it directly until the Operations Specialist starts. A and R both AB.</t>
        </is>
      </c>
    </row>
    <row r="62">
      <c r="A62" s="3" t="inlineStr">
        <is>
          <t>People &amp; Admin</t>
        </is>
      </c>
      <c r="B62" s="4" t="inlineStr">
        <is>
          <t>Employee onboarding, offboarding and access deprovisioning</t>
        </is>
      </c>
      <c r="C62" s="5" t="inlineStr"/>
      <c r="D62" s="5" t="inlineStr"/>
      <c r="E62" s="7" t="inlineStr">
        <is>
          <t>A/R</t>
        </is>
      </c>
      <c r="F62" s="5" t="inlineStr">
        <is>
          <t>C</t>
        </is>
      </c>
      <c r="G62" s="5" t="inlineStr"/>
      <c r="H62" s="5" t="inlineStr"/>
      <c r="I62" s="5" t="inlineStr"/>
      <c r="J62" s="5" t="inlineStr"/>
      <c r="K62" s="5" t="inlineStr"/>
      <c r="L62" s="5" t="inlineStr"/>
      <c r="M62" s="4" t="inlineStr">
        <is>
          <t>.claude/skills/asana-pd-manager/references/role-map.md:48-56</t>
        </is>
      </c>
      <c r="N62" s="4" t="inlineStr">
        <is>
          <t>INFERRED - no named owner. The departed-role-holder checklist is the only offboarding process documented anywhere in SJ-OS, and it exists because a stale role row broke collaborator resolution. A defaults to AB.</t>
        </is>
      </c>
    </row>
    <row r="63">
      <c r="A63" s="3" t="inlineStr">
        <is>
          <t>IT / Systems &amp; Data</t>
        </is>
      </c>
      <c r="B63" s="4" t="inlineStr">
        <is>
          <t>PLM schema, write path, audit log and Supabase wiki custody</t>
        </is>
      </c>
      <c r="C63" s="5" t="inlineStr"/>
      <c r="D63" s="5" t="inlineStr"/>
      <c r="E63" s="7" t="inlineStr">
        <is>
          <t>A/R</t>
        </is>
      </c>
      <c r="F63" s="5" t="inlineStr"/>
      <c r="G63" s="5" t="inlineStr"/>
      <c r="H63" s="5" t="inlineStr"/>
      <c r="I63" s="5" t="inlineStr"/>
      <c r="J63" s="5" t="inlineStr"/>
      <c r="K63" s="5" t="inlineStr"/>
      <c r="L63" s="5" t="inlineStr">
        <is>
          <t>C</t>
        </is>
      </c>
      <c r="M63" s="4" t="inlineStr">
        <is>
          <t>.claude/skills/plm-assistant/SKILL.md:292; decisions/wiki-layer-audit-2026-07-29.md:52</t>
        </is>
      </c>
      <c r="N63" s="4" t="inlineStr">
        <is>
          <t>plm-assistant is the sole PLM writer and every write needs Operations sign-off. Job 0 wiki write-back has not fired since 2026-05-26. A and R both AB.</t>
        </is>
      </c>
    </row>
    <row r="64">
      <c r="A64" s="3" t="inlineStr">
        <is>
          <t>IT / Systems &amp; Data</t>
        </is>
      </c>
      <c r="B64" s="4" t="inlineStr">
        <is>
          <t>Landing hub publish and Netlify Function maintenance</t>
        </is>
      </c>
      <c r="C64" s="5" t="inlineStr"/>
      <c r="D64" s="5" t="inlineStr"/>
      <c r="E64" s="7" t="inlineStr">
        <is>
          <t>A/R</t>
        </is>
      </c>
      <c r="F64" s="5" t="inlineStr"/>
      <c r="G64" s="5" t="inlineStr"/>
      <c r="H64" s="5" t="inlineStr"/>
      <c r="I64" s="5" t="inlineStr"/>
      <c r="J64" s="5" t="inlineStr"/>
      <c r="K64" s="5" t="inlineStr"/>
      <c r="L64" s="5" t="inlineStr"/>
      <c r="M64" s="4" t="inlineStr">
        <is>
          <t>.claude/skills/quality-status-reporter/SKILL.md:34-50; .claude/skills/quality-status-reporter/references/hub-integration.md:85</t>
        </is>
      </c>
      <c r="N64" s="4" t="inlineStr">
        <is>
          <t>All hub writes go through the landing-hub-publish Function behind an Operator gate. Deploy is commit-and-push only, never Netlify CLI. A and R both AB.</t>
        </is>
      </c>
    </row>
    <row r="65">
      <c r="A65" s="3" t="inlineStr">
        <is>
          <t>IT / Systems &amp; Data</t>
        </is>
      </c>
      <c r="B65" s="4" t="inlineStr">
        <is>
          <t>Asana project, section, custom-field and connector configuration</t>
        </is>
      </c>
      <c r="C65" s="5" t="inlineStr"/>
      <c r="D65" s="5" t="inlineStr"/>
      <c r="E65" s="7" t="inlineStr">
        <is>
          <t>A/R</t>
        </is>
      </c>
      <c r="F65" s="5" t="inlineStr">
        <is>
          <t>C</t>
        </is>
      </c>
      <c r="G65" s="5" t="inlineStr"/>
      <c r="H65" s="5" t="inlineStr"/>
      <c r="I65" s="5" t="inlineStr"/>
      <c r="J65" s="5" t="inlineStr"/>
      <c r="K65" s="5" t="inlineStr"/>
      <c r="L65" s="5" t="inlineStr"/>
      <c r="M65" s="4" t="inlineStr">
        <is>
          <t>references/architecture/asana_task_contract.md:227; connections.md:5-13</t>
        </is>
      </c>
      <c r="N65" s="4" t="inlineStr">
        <is>
          <t>An unresolvable role-holder is surfaced for Alvin to decide, not dropped. Seven tool domains registered; iMessage still not connected. A and R both AB.</t>
        </is>
      </c>
    </row>
    <row r="66">
      <c r="A66" s="3" t="inlineStr">
        <is>
          <t>IT / Systems &amp; Data</t>
        </is>
      </c>
      <c r="B66" s="4" t="inlineStr">
        <is>
          <t>Skill suite authorship, audit and versioning</t>
        </is>
      </c>
      <c r="C66" s="5" t="inlineStr"/>
      <c r="D66" s="5" t="inlineStr"/>
      <c r="E66" s="7" t="inlineStr">
        <is>
          <t>A/R</t>
        </is>
      </c>
      <c r="F66" s="5" t="inlineStr"/>
      <c r="G66" s="5" t="inlineStr"/>
      <c r="H66" s="5" t="inlineStr"/>
      <c r="I66" s="5" t="inlineStr"/>
      <c r="J66" s="5" t="inlineStr"/>
      <c r="K66" s="5" t="inlineStr"/>
      <c r="L66" s="5" t="inlineStr"/>
      <c r="M66" s="4" t="inlineStr">
        <is>
          <t>decisions/skills-architecture-tracker.md:4; decisions/log.md:31,45</t>
        </is>
      </c>
      <c r="N66" s="4" t="inlineStr">
        <is>
          <t>Owner recorded as Alvin Belt across the architecture decisions. Priority 2 of 2 this quarter. A and R both AB.</t>
        </is>
      </c>
    </row>
    <row r="67">
      <c r="A67" s="3" t="inlineStr">
        <is>
          <t>IT / Systems &amp; Data</t>
        </is>
      </c>
      <c r="B67" s="4" t="inlineStr">
        <is>
          <t>The 23 scheduled Routines and their HITL gates</t>
        </is>
      </c>
      <c r="C67" s="5" t="inlineStr"/>
      <c r="D67" s="5" t="inlineStr"/>
      <c r="E67" s="7" t="inlineStr">
        <is>
          <t>A/R</t>
        </is>
      </c>
      <c r="F67" s="5" t="inlineStr">
        <is>
          <t>I</t>
        </is>
      </c>
      <c r="G67" s="5" t="inlineStr"/>
      <c r="H67" s="5" t="inlineStr"/>
      <c r="I67" s="5" t="inlineStr"/>
      <c r="J67" s="5" t="inlineStr"/>
      <c r="K67" s="5" t="inlineStr"/>
      <c r="L67" s="5" t="inlineStr"/>
      <c r="M67" s="4" t="inlineStr">
        <is>
          <t>scheduled-prompts/weekly-pd-update.md:91; scheduled-prompts/sjs-purchasing-monthly-rollup-and-snapshot.md:79</t>
        </is>
      </c>
      <c r="N67" s="4" t="inlineStr">
        <is>
          <t>Nothing commits until Alvin says go. Same pattern across all 23 Routines, including the ones that fire unattended on a schedule. A and R both AB.</t>
        </is>
      </c>
    </row>
    <row r="69">
      <c r="A69" s="8" t="inlineStr">
        <is>
          <t>Legend</t>
        </is>
      </c>
    </row>
    <row r="70">
      <c r="A70" s="9" t="n"/>
      <c r="B70" s="10" t="inlineStr">
        <is>
          <t>A = answers for the outcome (one per row)</t>
        </is>
      </c>
    </row>
    <row r="71">
      <c r="A71" s="11" t="n"/>
      <c r="B71" s="10" t="inlineStr">
        <is>
          <t>R = does the work (one per row)</t>
        </is>
      </c>
    </row>
    <row r="72">
      <c r="A72" s="9" t="n"/>
      <c r="B72" s="10" t="inlineStr">
        <is>
          <t>A/R = the same person holds both, so the row has no second pair of eyes</t>
        </is>
      </c>
    </row>
    <row r="73">
      <c r="B73" s="10" t="inlineStr">
        <is>
          <t>C = consulted before the decision</t>
        </is>
      </c>
    </row>
    <row r="74">
      <c r="B74" s="10" t="inlineStr">
        <is>
          <t>I = informed after it</t>
        </is>
      </c>
    </row>
    <row r="76">
      <c r="A76" s="8" t="inlineStr">
        <is>
          <t>People</t>
        </is>
      </c>
    </row>
    <row r="77">
      <c r="A77" s="12" t="inlineStr">
        <is>
          <t>Initials</t>
        </is>
      </c>
      <c r="B77" s="12" t="inlineStr">
        <is>
          <t>Name and role</t>
        </is>
      </c>
    </row>
    <row r="78">
      <c r="A78" s="10" t="inlineStr">
        <is>
          <t>AC</t>
        </is>
      </c>
      <c r="B78" s="10" t="inlineStr">
        <is>
          <t>Ayesha Curry — Owner / Founder</t>
        </is>
      </c>
    </row>
    <row r="79">
      <c r="A79" s="10" t="inlineStr">
        <is>
          <t>DI</t>
        </is>
      </c>
      <c r="B79" s="10" t="inlineStr">
        <is>
          <t>Danielle Iturbe — President</t>
        </is>
      </c>
    </row>
    <row r="80">
      <c r="A80" s="10" t="inlineStr">
        <is>
          <t>AB</t>
        </is>
      </c>
      <c r="B80" s="10" t="inlineStr">
        <is>
          <t>Alvin Belt — VP of Operations</t>
        </is>
      </c>
    </row>
    <row r="81">
      <c r="A81" s="10" t="inlineStr">
        <is>
          <t>NI</t>
        </is>
      </c>
      <c r="B81" s="10" t="inlineStr">
        <is>
          <t>Nicole Iturbe — Sr. Director, Consumer Strategy &amp; Operations</t>
        </is>
      </c>
    </row>
    <row r="82">
      <c r="A82" s="10" t="inlineStr">
        <is>
          <t>SS</t>
        </is>
      </c>
      <c r="B82" s="10" t="inlineStr">
        <is>
          <t>Soraya Salgadoe — Marketing Manager</t>
        </is>
      </c>
    </row>
    <row r="83">
      <c r="A83" s="10" t="inlineStr">
        <is>
          <t>KL</t>
        </is>
      </c>
      <c r="B83" s="10" t="inlineStr">
        <is>
          <t>Kate Le — Social Media Coordinator</t>
        </is>
      </c>
    </row>
    <row r="84">
      <c r="A84" s="10" t="inlineStr">
        <is>
          <t>EH</t>
        </is>
      </c>
      <c r="B84" s="10" t="inlineStr">
        <is>
          <t>Erin Hover — Creative Director</t>
        </is>
      </c>
    </row>
    <row r="85">
      <c r="A85" s="10" t="inlineStr">
        <is>
          <t>IT</t>
        </is>
      </c>
      <c r="B85" s="10" t="inlineStr">
        <is>
          <t>Ivy Tan — Creative / Design Coordinator</t>
        </is>
      </c>
    </row>
    <row r="86">
      <c r="A86" s="10" t="inlineStr">
        <is>
          <t>JH</t>
        </is>
      </c>
      <c r="B86" s="10" t="inlineStr">
        <is>
          <t>Jan Haeck — Packaging Engineer (contractor, under Erin)</t>
        </is>
      </c>
    </row>
    <row r="87">
      <c r="A87" s="10" t="inlineStr">
        <is>
          <t>PC</t>
        </is>
      </c>
      <c r="B87" s="10" t="inlineStr">
        <is>
          <t>Perrine Calvet — PD / R&amp;D / Quality owner (Milinyc, contractor)</t>
        </is>
      </c>
    </row>
    <row r="89">
      <c r="A89" s="12" t="inlineStr">
        <is>
          <t>Source of truth</t>
        </is>
      </c>
      <c r="B89" s="13" t="inlineStr">
        <is>
          <t>All paths are relative to the SJ-OS repo. Ownership was extracted from the repo, not assumed. Rows marked INFERRED in Notes have no owner named in any source; A defaults to Alvin Belt because the work falls to him in practice.</t>
        </is>
      </c>
    </row>
  </sheetData>
  <autoFilter ref="A1:N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workbookViewId="0">
      <selection activeCell="A1" sqref="A1"/>
    </sheetView>
  </sheetViews>
  <sheetFormatPr baseColWidth="8" defaultRowHeight="15"/>
  <cols>
    <col width="118" customWidth="1" min="1" max="1"/>
    <col width="10" customWidth="1" min="2" max="2"/>
    <col width="10" customWidth="1" min="3" max="3"/>
    <col width="10" customWidth="1" min="4" max="4"/>
  </cols>
  <sheetData>
    <row r="1" ht="15" customHeight="1">
      <c r="A1" s="14" t="inlineStr">
        <is>
          <t>Ownership concentration and coverage gaps</t>
        </is>
      </c>
    </row>
    <row r="2">
      <c r="A2" t="inlineStr"/>
    </row>
    <row r="3" ht="26" customHeight="1">
      <c r="A3" s="13" t="inlineStr">
        <is>
          <t>Read against the RACI sheet. Every claim below traces to a file and line in SJ-OS. Counts are live formulas over the RACI sheet, so they move if a row changes.</t>
        </is>
      </c>
    </row>
    <row r="4">
      <c r="A4" t="inlineStr"/>
    </row>
    <row r="5">
      <c r="A5" s="15" t="inlineStr">
        <is>
          <t>Person</t>
        </is>
      </c>
      <c r="B5" s="16" t="inlineStr">
        <is>
          <t>A count</t>
        </is>
      </c>
      <c r="C5" s="16" t="inlineStr">
        <is>
          <t>R count</t>
        </is>
      </c>
      <c r="D5" s="16" t="inlineStr">
        <is>
          <t>A/R rows</t>
        </is>
      </c>
    </row>
    <row r="6">
      <c r="A6" s="10" t="inlineStr">
        <is>
          <t>AC — Ayesha Curry</t>
        </is>
      </c>
      <c r="B6" s="17">
        <f>COUNTIF(RACI!C2:C67,"A")+COUNTIF(RACI!C2:C67,"A/R")</f>
        <v/>
      </c>
      <c r="C6" s="17">
        <f>COUNTIF(RACI!C2:C67,"R")+COUNTIF(RACI!C2:C67,"A/R")</f>
        <v/>
      </c>
      <c r="D6" s="17">
        <f>COUNTIF(RACI!C2:C67,"A/R")</f>
        <v/>
      </c>
    </row>
    <row r="7">
      <c r="A7" s="10" t="inlineStr">
        <is>
          <t>DI — Danielle Iturbe</t>
        </is>
      </c>
      <c r="B7" s="17">
        <f>COUNTIF(RACI!D2:D67,"A")+COUNTIF(RACI!D2:D67,"A/R")</f>
        <v/>
      </c>
      <c r="C7" s="17">
        <f>COUNTIF(RACI!D2:D67,"R")+COUNTIF(RACI!D2:D67,"A/R")</f>
        <v/>
      </c>
      <c r="D7" s="17">
        <f>COUNTIF(RACI!D2:D67,"A/R")</f>
        <v/>
      </c>
    </row>
    <row r="8">
      <c r="A8" s="10" t="inlineStr">
        <is>
          <t>AB — Alvin Belt</t>
        </is>
      </c>
      <c r="B8" s="17">
        <f>COUNTIF(RACI!E2:E67,"A")+COUNTIF(RACI!E2:E67,"A/R")</f>
        <v/>
      </c>
      <c r="C8" s="17">
        <f>COUNTIF(RACI!E2:E67,"R")+COUNTIF(RACI!E2:E67,"A/R")</f>
        <v/>
      </c>
      <c r="D8" s="17">
        <f>COUNTIF(RACI!E2:E67,"A/R")</f>
        <v/>
      </c>
    </row>
    <row r="9">
      <c r="A9" s="10" t="inlineStr">
        <is>
          <t>NI — Nicole Iturbe</t>
        </is>
      </c>
      <c r="B9" s="17">
        <f>COUNTIF(RACI!F2:F67,"A")+COUNTIF(RACI!F2:F67,"A/R")</f>
        <v/>
      </c>
      <c r="C9" s="17">
        <f>COUNTIF(RACI!F2:F67,"R")+COUNTIF(RACI!F2:F67,"A/R")</f>
        <v/>
      </c>
      <c r="D9" s="17">
        <f>COUNTIF(RACI!F2:F67,"A/R")</f>
        <v/>
      </c>
    </row>
    <row r="10">
      <c r="A10" s="10" t="inlineStr">
        <is>
          <t>SS — Soraya Salgadoe</t>
        </is>
      </c>
      <c r="B10" s="17">
        <f>COUNTIF(RACI!G2:G67,"A")+COUNTIF(RACI!G2:G67,"A/R")</f>
        <v/>
      </c>
      <c r="C10" s="17">
        <f>COUNTIF(RACI!G2:G67,"R")+COUNTIF(RACI!G2:G67,"A/R")</f>
        <v/>
      </c>
      <c r="D10" s="17">
        <f>COUNTIF(RACI!G2:G67,"A/R")</f>
        <v/>
      </c>
    </row>
    <row r="11">
      <c r="A11" s="10" t="inlineStr">
        <is>
          <t>KL — Kate Le</t>
        </is>
      </c>
      <c r="B11" s="17">
        <f>COUNTIF(RACI!H2:H67,"A")+COUNTIF(RACI!H2:H67,"A/R")</f>
        <v/>
      </c>
      <c r="C11" s="17">
        <f>COUNTIF(RACI!H2:H67,"R")+COUNTIF(RACI!H2:H67,"A/R")</f>
        <v/>
      </c>
      <c r="D11" s="17">
        <f>COUNTIF(RACI!H2:H67,"A/R")</f>
        <v/>
      </c>
    </row>
    <row r="12">
      <c r="A12" s="10" t="inlineStr">
        <is>
          <t>EH — Erin Hover</t>
        </is>
      </c>
      <c r="B12" s="17">
        <f>COUNTIF(RACI!I2:I67,"A")+COUNTIF(RACI!I2:I67,"A/R")</f>
        <v/>
      </c>
      <c r="C12" s="17">
        <f>COUNTIF(RACI!I2:I67,"R")+COUNTIF(RACI!I2:I67,"A/R")</f>
        <v/>
      </c>
      <c r="D12" s="17">
        <f>COUNTIF(RACI!I2:I67,"A/R")</f>
        <v/>
      </c>
    </row>
    <row r="13">
      <c r="A13" s="10" t="inlineStr">
        <is>
          <t>IT — Ivy Tan</t>
        </is>
      </c>
      <c r="B13" s="17">
        <f>COUNTIF(RACI!J2:J67,"A")+COUNTIF(RACI!J2:J67,"A/R")</f>
        <v/>
      </c>
      <c r="C13" s="17">
        <f>COUNTIF(RACI!J2:J67,"R")+COUNTIF(RACI!J2:J67,"A/R")</f>
        <v/>
      </c>
      <c r="D13" s="17">
        <f>COUNTIF(RACI!J2:J67,"A/R")</f>
        <v/>
      </c>
    </row>
    <row r="14">
      <c r="A14" s="10" t="inlineStr">
        <is>
          <t>JH — Jan Haeck</t>
        </is>
      </c>
      <c r="B14" s="17">
        <f>COUNTIF(RACI!K2:K67,"A")+COUNTIF(RACI!K2:K67,"A/R")</f>
        <v/>
      </c>
      <c r="C14" s="17">
        <f>COUNTIF(RACI!K2:K67,"R")+COUNTIF(RACI!K2:K67,"A/R")</f>
        <v/>
      </c>
      <c r="D14" s="17">
        <f>COUNTIF(RACI!K2:K67,"A/R")</f>
        <v/>
      </c>
    </row>
    <row r="15">
      <c r="A15" s="10" t="inlineStr">
        <is>
          <t>PC — Perrine Calvet</t>
        </is>
      </c>
      <c r="B15" s="17">
        <f>COUNTIF(RACI!L2:L67,"A")+COUNTIF(RACI!L2:L67,"A/R")</f>
        <v/>
      </c>
      <c r="C15" s="17">
        <f>COUNTIF(RACI!L2:L67,"R")+COUNTIF(RACI!L2:L67,"A/R")</f>
        <v/>
      </c>
      <c r="D15" s="17">
        <f>COUNTIF(RACI!L2:L67,"A/R")</f>
        <v/>
      </c>
    </row>
    <row r="16">
      <c r="A16" s="12" t="inlineStr">
        <is>
          <t>Total rows</t>
        </is>
      </c>
      <c r="B16" s="18">
        <f>COUNTA(RACI!B2:B67)</f>
        <v/>
      </c>
    </row>
    <row r="17">
      <c r="A17" t="inlineStr"/>
    </row>
    <row r="18" ht="15" customHeight="1">
      <c r="A18" s="19" t="inlineStr">
        <is>
          <t>Where accountability sits</t>
        </is>
      </c>
    </row>
    <row r="19">
      <c r="A19" t="inlineStr"/>
    </row>
    <row r="20" ht="91" customHeight="1">
      <c r="A20" s="13" t="inlineStr">
        <is>
          <t>Alvin Belt is accountable for 38 of the 66 activities on this matrix and does the work on 50 of them. The next largest book of accountability is 11. The reason is structural rather than a matter of habit: three canonical role-maps define an Operator role that holds the approval gate on essentially every write across Product Development, Operations, Quality and Regulatory, and all three name the same person. In Regulatory the concentration doubles up. regulatory-manager/references/role-map.md:14 states that Reg Lead is "the same person as Operator at v6.3," so on an IL packet or an FDA filing the two supposedly independent gates fire against one person twice.</t>
        </is>
      </c>
    </row>
    <row r="21">
      <c r="A21" t="inlineStr"/>
    </row>
    <row r="22" ht="15" customHeight="1">
      <c r="A22" s="19" t="inlineStr">
        <is>
          <t>Rows with no second pair of eyes</t>
        </is>
      </c>
    </row>
    <row r="23">
      <c r="A23" t="inlineStr"/>
    </row>
    <row r="24" ht="104" customHeight="1">
      <c r="A24" s="13" t="inlineStr">
        <is>
          <t>43 of the 66 rows have the same person as both A and R. Thirty-four of those are Alvin. That is not a drafting artifact — the sources genuinely put the drafting, the approving and the committing on one desk. The ones that carry the most exposure are the FDA and MoCRA filings, where adverse-event-and-recall-reporter/SKILL.md:65,108 defines a Pedrero send approval and an agency submission approval as two distinct audit-trail entries, and Alvin holds both; the recall kickoff at complaint-and-event-handler/SKILL.md:89,95, described as the strictest gate in the suite with §4.A through §4.F each needing separate approval, all of it his; and the landing hub publish at quality-status-reporter/SKILL.md:34-50, where every commit goes to main and triggers a live deploy behind a single approver.</t>
        </is>
      </c>
    </row>
    <row r="25">
      <c r="A25" t="inlineStr"/>
    </row>
    <row r="26" ht="15" customHeight="1">
      <c r="A26" s="19" t="inlineStr">
        <is>
          <t>Functions with no owner in the sources</t>
        </is>
      </c>
    </row>
    <row r="27">
      <c r="A27" t="inlineStr"/>
    </row>
    <row r="28" ht="104" customHeight="1">
      <c r="A28" s="13" t="inlineStr">
        <is>
          <t>Three. Accounts payable, bookkeeping and payroll appear nowhere as owned work — Finance shows up only as an email-sender category in outlook-plm-bridge/SKILL.md:368 and as a bullet heading in ayesha-weekly-briefing/SKILL.md:9. Employee onboarding, offboarding and access deprovisioning has no named owner either; the only documented process is the departed-role-holder checklist at asana-pd-manager/references/role-map.md:48-56, which exists because a stale role row broke collaborator resolution during a build. Shopify revenue ownership is registered as a connection in connections.md:7 and named as the primary DTC revenue track in context/about-business.md:5, but no skill assigns a gate or an owner. Those three rows carry A = AB on the matrix as an inference, not as a sourced claim, and they are flagged INFERRED in Notes.</t>
        </is>
      </c>
    </row>
    <row r="29">
      <c r="A29" t="inlineStr"/>
    </row>
    <row r="30" ht="15" customHeight="1">
      <c r="A30" s="19" t="inlineStr">
        <is>
          <t>What the retired Ops Coordinator seat left behind</t>
        </is>
      </c>
    </row>
    <row r="31">
      <c r="A31" t="inlineStr"/>
    </row>
    <row r="32" ht="117" customHeight="1">
      <c r="A32" s="13" t="inlineStr">
        <is>
          <t>The prompt for this RACI assumed that work transferred to Alvin. The repo is more specific, and it was already decided. decisions/log.md:50-62 records the 2026-07-17 call to retire the Operations Coordinator role rather than backfill it, replacing it with an Operations Specialist and a Product Development Project Manager Specialist, both reporting to Nicole. The interim split is Alvin on inventory and logistics, Nicole on order management and OC3PL. That shows up on six rows: inventory position keeping and inbound freight and customs sit with Alvin; daily DTC order operations and the DTC fulfillment dashboard sit with Nicole; pre-ship out-of-stock holds are split, accountable to Nicole and worked by Alvin. Tool procurement, vendor renewals and shared-folder admin went to Alvin as well, per sjs-comp-intel/references/team-ownership.md:50, which says explicitly that he carries it until the Operations Specialist starts.</t>
        </is>
      </c>
    </row>
    <row r="33">
      <c r="A33" t="inlineStr"/>
    </row>
    <row r="34" ht="15" customHeight="1">
      <c r="A34" s="19" t="inlineStr">
        <is>
          <t>The interim state has costs that are already visible</t>
        </is>
      </c>
    </row>
    <row r="35">
      <c r="A35" t="inlineStr"/>
    </row>
    <row r="36" ht="65" customHeight="1">
      <c r="A36" s="13" t="inlineStr">
        <is>
          <t>decisions/log.md:60 records two items still open from the July cleanup: 22 of the departed coordinator's Asana tasks sit unassigned in an archived holding project, four of them already overdue, and her contact wiki page still resolves as an active internal contact, so the four Outlook and Fireflies bridges keep classifying mail from her as internal. Both are the kind of thing a coordinator seat would have closed in a week. Neither has closed in a quarter.</t>
        </is>
      </c>
    </row>
    <row r="37">
      <c r="A37" t="inlineStr"/>
    </row>
    <row r="38" ht="15" customHeight="1">
      <c r="A38" s="19" t="inlineStr">
        <is>
          <t>Single points of failure with no named backup</t>
        </is>
      </c>
    </row>
    <row r="39">
      <c r="A39" t="inlineStr"/>
    </row>
    <row r="40" ht="104" customHeight="1">
      <c r="A40" s="13" t="inlineStr">
        <is>
          <t>Perrine Calvet is accountable for 11 activities and is an external contractor at Milinyc. Every technical quality gate runs through her — NCR to CAPA conversion, root cause sign-off, verification, effectiveness, CAPA close, vendor flags, and every batch hold and release, which batch-lifecycle-tracker/references/batch-lifecycle-procedure.md:208 states admit no exceptions. She also holds pre-launch compatibility, stability, RIPT and PET decisions as both A and R, with no internal counterpart. On top of that she is filling a seat that is formally vacant: quality-manager/references/role-map.md:16 notes that SOP §7 requires a QA Manager to approve SOP revisions and that responsibility currently sits with her as QA Lead. If she is unavailable, no batch releases and no SOPs ratify.</t>
        </is>
      </c>
    </row>
    <row r="41">
      <c r="A41" t="inlineStr"/>
    </row>
    <row r="42" ht="78" customHeight="1">
      <c r="A42" s="13" t="inlineStr">
        <is>
          <t>Alvin is the other one, and the sources say so plainly. The Operator gate has no alternate anywhere in the suite. references/architecture/asana_task_contract.md:227 handles an unresolvable role-holder by surfacing the question for him to answer rather than routing around him, which is correct behaviour and also a description of the bottleneck. All 23 scheduled Routines stop at a HITL gate that only he can clear — scheduled-prompts/weekly-pd-update.md:91 puts it as "nothing commits until Alvin says go" — so a week away does not pause the work, it queues it.</t>
        </is>
      </c>
    </row>
    <row r="43">
      <c r="A43" t="inlineStr"/>
    </row>
    <row r="44" ht="65" customHeight="1">
      <c r="A44" s="13" t="inlineStr">
        <is>
          <t>Succession is documented exactly once in the whole system. sjs-comp-intel/references/team-ownership.md:95 names Soraya as interim DRI if Nicole is unavailable and says what to stop doing if both are out. Nothing comparable exists for the Operator role, the QA Lead role, the Reg Lead role, or Creative. For a repo whose stated purpose in decisions/log.md:41 is to be an operating system "built for succession," one succession plan across eleven functions is the gap that matters most.</t>
        </is>
      </c>
    </row>
    <row r="45">
      <c r="A45" t="inlineStr"/>
    </row>
    <row r="46" ht="15" customHeight="1">
      <c r="A46" s="19" t="inlineStr">
        <is>
          <t>What this means for headcount</t>
        </is>
      </c>
    </row>
    <row r="47">
      <c r="A47" t="inlineStr"/>
    </row>
    <row r="48" ht="91" customHeight="1">
      <c r="A48" s="13" t="inlineStr">
        <is>
          <t>The two-specialist decision was made on 2026-07-17 and neither seat is filled. The matrix shows why that is expensive rather than merely untidy. Both roles were designed to report to Nicole, and decisions/log.md:54 gives the reasoning: moving day-to-day ops management off the VP seat is the succession point the whole system is being built toward. Right now the opposite is happening. Alvin absorbed inventory and logistics on top of a book that already held every Operator gate in four functions, and Nicole absorbed order management and OC3PL on top of being Stream DRI for competitive intelligence, Voice of Customer for quality, PD Consult, and the retailer relationship owner.</t>
        </is>
      </c>
    </row>
    <row r="49">
      <c r="A49" t="inlineStr"/>
    </row>
    <row r="50" ht="78" customHeight="1">
      <c r="A50" s="13" t="inlineStr">
        <is>
          <t>Alvin does the work on 11 of the 12 Operations rows. Filling the Operations Specialist seat moves most of that — the inventory ledger, receiving, three-way reconciliation, freight and customs, procurement admin and the shortage-sheet work. He also does the work on 5 of the 7 Product Development rows; the PD Project Manager seat takes the stage-gate stewardship, the Asana follow-up discipline and the intake bridges. That still leaves him with every approval gate, which is arguably correct for a VP. The problem today is that he holds the gates and does the work behind them.</t>
        </is>
      </c>
    </row>
    <row r="51">
      <c r="A51" t="inlineStr"/>
    </row>
    <row r="52" ht="52" customHeight="1">
      <c r="A52" s="13" t="inlineStr">
        <is>
          <t>The third gap is not on the hiring plan and should be. Quality has no internal technical authority. The QA Manager seat is vacant, an external contractor is covering it, and the batch release gate has no alternate. Sweet July Skin sells through Sephora, Ulta and Whole Foods under MoCRA, so a contractor being unavailable is a shipping problem and a filing problem at the same time.</t>
        </is>
      </c>
    </row>
    <row r="53">
      <c r="A5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0" customWidth="1" min="3" max="3"/>
    <col width="58" customWidth="1" min="4" max="4"/>
    <col width="34" customWidth="1" min="5" max="5"/>
    <col width="11" customWidth="1" min="6" max="6"/>
    <col width="52" customWidth="1" min="7" max="7"/>
  </cols>
  <sheetData>
    <row r="1" ht="30" customHeight="1">
      <c r="A1" s="1" t="inlineStr">
        <is>
          <t>Type</t>
        </is>
      </c>
      <c r="B1" s="1" t="inlineStr">
        <is>
          <t>Function</t>
        </is>
      </c>
      <c r="C1" s="1" t="inlineStr">
        <is>
          <t>Gap</t>
        </is>
      </c>
      <c r="D1" s="1" t="inlineStr">
        <is>
          <t>Why it matters</t>
        </is>
      </c>
      <c r="E1" s="1" t="inlineStr">
        <is>
          <t>Suggested owner</t>
        </is>
      </c>
      <c r="F1" s="1" t="inlineStr">
        <is>
          <t>Est. hrs / month</t>
        </is>
      </c>
      <c r="G1" s="1" t="inlineStr">
        <is>
          <t>Source (file:line)</t>
        </is>
      </c>
    </row>
    <row r="2">
      <c r="A2" s="20" t="inlineStr">
        <is>
          <t>Unowned function</t>
        </is>
      </c>
      <c r="B2" s="4" t="inlineStr">
        <is>
          <t>Finance</t>
        </is>
      </c>
      <c r="C2" s="4" t="inlineStr">
        <is>
          <t>Accounts payable, bookkeeping and payroll have no owner, approver or gate anywhere in SJ-OS.</t>
        </is>
      </c>
      <c r="D2" s="4" t="inlineStr">
        <is>
          <t>Spend is captured (vendor_invoices, five HITL gates) but nothing downstream of it is owned. The cost ledger has a custodian; the books do not.</t>
        </is>
      </c>
      <c r="E2" s="4" t="inlineStr">
        <is>
          <t>Fractional controller or bookkeeper; Alvin approves</t>
        </is>
      </c>
      <c r="F2" s="5" t="n">
        <v>20</v>
      </c>
      <c r="G2" s="4" t="inlineStr">
        <is>
          <t>.claude/skills/outlook-plm-bridge/SKILL.md:368; .claude/skills/ayesha-weekly-briefing/SKILL.md:9</t>
        </is>
      </c>
    </row>
    <row r="3">
      <c r="A3" s="20" t="inlineStr">
        <is>
          <t>Unowned function</t>
        </is>
      </c>
      <c r="B3" s="4" t="inlineStr">
        <is>
          <t>People &amp; Admin</t>
        </is>
      </c>
      <c r="C3" s="4" t="inlineStr">
        <is>
          <t>Employee onboarding, offboarding and access deprovisioning has no named owner.</t>
        </is>
      </c>
      <c r="D3" s="4" t="inlineStr">
        <is>
          <t>The only documented process is a departed-role-holder checklist written after a stale role row broke Asana collaborator resolution. It was written reactively and it is not owned.</t>
        </is>
      </c>
      <c r="E3" s="4" t="inlineStr">
        <is>
          <t>Operations Specialist once hired; Alvin interim</t>
        </is>
      </c>
      <c r="F3" s="5" t="n">
        <v>6</v>
      </c>
      <c r="G3" s="4" t="inlineStr">
        <is>
          <t>.claude/skills/asana-pd-manager/references/role-map.md:48-56</t>
        </is>
      </c>
    </row>
    <row r="4">
      <c r="A4" s="20" t="inlineStr">
        <is>
          <t>Unowned function</t>
        </is>
      </c>
      <c r="B4" s="4" t="inlineStr">
        <is>
          <t>Ecommerce &amp; DTC</t>
        </is>
      </c>
      <c r="C4" s="4" t="inlineStr">
        <is>
          <t>Shopify revenue and channel position has no owner or gate.</t>
        </is>
      </c>
      <c r="D4" s="4" t="inlineStr">
        <is>
          <t>Registered as the revenue connection and named as the primary DTC revenue track, but no skill assigns ownership. The one function closest to the top line is the least specified.</t>
        </is>
      </c>
      <c r="E4" s="4" t="inlineStr">
        <is>
          <t>Nicole (channel), Alvin (data)</t>
        </is>
      </c>
      <c r="F4" s="5" t="n">
        <v>8</v>
      </c>
      <c r="G4" s="4" t="inlineStr">
        <is>
          <t>connections.md:7; context/about-business.md:5</t>
        </is>
      </c>
    </row>
    <row r="5">
      <c r="A5" s="20" t="inlineStr">
        <is>
          <t>Vacant seat</t>
        </is>
      </c>
      <c r="B5" s="4" t="inlineStr">
        <is>
          <t>Quality</t>
        </is>
      </c>
      <c r="C5" s="4" t="inlineStr">
        <is>
          <t>QA Manager seat is vacant. SOP §7 requires a QA Manager to approve SOP revisions; an external contractor is filling it.</t>
        </is>
      </c>
      <c r="D5" s="4" t="inlineStr">
        <is>
          <t>No internal technical quality authority exists. Every batch release, every SOP ratification and every CAPA close depends on a contractor being available.</t>
        </is>
      </c>
      <c r="E5" s="4" t="inlineStr">
        <is>
          <t>In-house QA Manager; Perrine interim</t>
        </is>
      </c>
      <c r="F5" s="5" t="n">
        <v>40</v>
      </c>
      <c r="G5" s="4" t="inlineStr">
        <is>
          <t>.claude/skills/quality-manager/references/role-map.md:16</t>
        </is>
      </c>
    </row>
    <row r="6">
      <c r="A6" s="20" t="inlineStr">
        <is>
          <t>Vacant seat</t>
        </is>
      </c>
      <c r="B6" s="4" t="inlineStr">
        <is>
          <t>Operations &amp; Supply Chain</t>
        </is>
      </c>
      <c r="C6" s="4" t="inlineStr">
        <is>
          <t>Operations Specialist seat approved 2026-07-17, not filled. Reports to Nicole.</t>
        </is>
      </c>
      <c r="D6" s="4" t="inlineStr">
        <is>
          <t>Inventory, logistics, receiving, reconciliation and procurement admin are being carried by the VP of Operations as interim cover, a quarter past the decision.</t>
        </is>
      </c>
      <c r="E6" s="4" t="inlineStr">
        <is>
          <t>New hire, reporting to Nicole</t>
        </is>
      </c>
      <c r="F6" s="5" t="n">
        <v>100</v>
      </c>
      <c r="G6" s="4" t="inlineStr">
        <is>
          <t>decisions/log.md:52,58; context/priorities.md:3</t>
        </is>
      </c>
    </row>
    <row r="7">
      <c r="A7" s="20" t="inlineStr">
        <is>
          <t>Vacant seat</t>
        </is>
      </c>
      <c r="B7" s="4" t="inlineStr">
        <is>
          <t>Product Development</t>
        </is>
      </c>
      <c r="C7" s="4" t="inlineStr">
        <is>
          <t>PD Project Manager Specialist seat approved 2026-07-17, not filled. Reports to Nicole.</t>
        </is>
      </c>
      <c r="D7" s="4" t="inlineStr">
        <is>
          <t>PD stage-gate stewardship, Asana follow-up and supplier chasing sit on the VP seat. Chasing suppliers and updating Asana by hand is the stated top recurring pain.</t>
        </is>
      </c>
      <c r="E7" s="4" t="inlineStr">
        <is>
          <t>New hire, reporting to Nicole</t>
        </is>
      </c>
      <c r="F7" s="5" t="n">
        <v>100</v>
      </c>
      <c r="G7" s="4" t="inlineStr">
        <is>
          <t>decisions/log.md:52,58; context/priorities.md:3</t>
        </is>
      </c>
    </row>
    <row r="8">
      <c r="A8" s="20" t="inlineStr">
        <is>
          <t>Single point of failure</t>
        </is>
      </c>
      <c r="B8" s="4" t="inlineStr">
        <is>
          <t>Quality</t>
        </is>
      </c>
      <c r="C8" s="4" t="inlineStr">
        <is>
          <t>Perrine Calvet holds every technical quality gate with no named backup, as an external contractor.</t>
        </is>
      </c>
      <c r="D8" s="4" t="inlineStr">
        <is>
          <t>Batch hold and release admit no exceptions at v5.4. If she is unavailable, product does not release and SOPs do not ratify.</t>
        </is>
      </c>
      <c r="E8" s="4" t="inlineStr">
        <is>
          <t>Name a backup approver; hire the QA Manager</t>
        </is>
      </c>
      <c r="F8" s="5" t="n">
        <v>0</v>
      </c>
      <c r="G8" s="4" t="inlineStr">
        <is>
          <t>.claude/skills/batch-lifecycle-tracker/references/batch-lifecycle-procedure.md:208; .claude/skills/quality-manager/references/role-map.md:14</t>
        </is>
      </c>
    </row>
    <row r="9">
      <c r="A9" s="20" t="inlineStr">
        <is>
          <t>Single point of failure</t>
        </is>
      </c>
      <c r="B9" s="4" t="inlineStr">
        <is>
          <t>Product Development</t>
        </is>
      </c>
      <c r="C9" s="4" t="inlineStr">
        <is>
          <t>Compatibility, stability, RIPT and PET decisions are A and R on the same contractor with no internal counterpart.</t>
        </is>
      </c>
      <c r="D9" s="4" t="inlineStr">
        <is>
          <t>Pre-launch technical decisions have no internal reviewer. Nobody inside AC Brands can check the work or continue it.</t>
        </is>
      </c>
      <c r="E9" s="4" t="inlineStr">
        <is>
          <t>PD Project Manager Specialist as internal counterpart</t>
        </is>
      </c>
      <c r="F9" s="5" t="n">
        <v>0</v>
      </c>
      <c r="G9" s="4" t="inlineStr">
        <is>
          <t>.claude/skills/asana-pd-manager/references/role-map.md:16</t>
        </is>
      </c>
    </row>
    <row r="10">
      <c r="A10" s="20" t="inlineStr">
        <is>
          <t>Single point of failure</t>
        </is>
      </c>
      <c r="B10" s="4" t="inlineStr">
        <is>
          <t>Regulatory &amp; Compliance</t>
        </is>
      </c>
      <c r="C10" s="4" t="inlineStr">
        <is>
          <t>Operator and Reg Lead are the same person, so two gates that were designed to be independent fire against one approver.</t>
        </is>
      </c>
      <c r="D10" s="4" t="inlineStr">
        <is>
          <t>On IL packets, retailer attestations and FDA filings the second approval adds an audit-trail entry but no second judgment. The 15-day MoCRA clock has no alternate approver.</t>
        </is>
      </c>
      <c r="E10" s="4" t="inlineStr">
        <is>
          <t>Split Reg Lead to Pedrero-side or a new hire</t>
        </is>
      </c>
      <c r="F10" s="5" t="n">
        <v>0</v>
      </c>
      <c r="G10" s="4" t="inlineStr">
        <is>
          <t>.claude/skills/regulatory-manager/references/role-map.md:14; .claude/skills/adverse-event-and-recall-reporter/SKILL.md:108</t>
        </is>
      </c>
    </row>
    <row r="11">
      <c r="A11" s="20" t="inlineStr">
        <is>
          <t>Single point of failure</t>
        </is>
      </c>
      <c r="B11" s="4" t="inlineStr">
        <is>
          <t>IT / Systems &amp; Data</t>
        </is>
      </c>
      <c r="C11" s="4" t="inlineStr">
        <is>
          <t>All 23 scheduled Routines stop at a HITL gate only Alvin can clear.</t>
        </is>
      </c>
      <c r="D11" s="4" t="inlineStr">
        <is>
          <t>Automation that fires unattended still needs him to commit. A week away queues the work rather than pausing it, and the Routines keep firing.</t>
        </is>
      </c>
      <c r="E11" s="4" t="inlineStr">
        <is>
          <t>Delegate publish gates to the new specialists</t>
        </is>
      </c>
      <c r="F11" s="5" t="n">
        <v>0</v>
      </c>
      <c r="G11" s="4" t="inlineStr">
        <is>
          <t>scheduled-prompts/weekly-pd-update.md:91; scheduled-prompts/sjs-purchasing-monthly-rollup-and-snapshot.md:79</t>
        </is>
      </c>
    </row>
    <row r="12">
      <c r="A12" s="20" t="inlineStr">
        <is>
          <t>Single point of failure</t>
        </is>
      </c>
      <c r="B12" s="4" t="inlineStr">
        <is>
          <t>Marketing &amp; Brand</t>
        </is>
      </c>
      <c r="C12" s="4" t="inlineStr">
        <is>
          <t>Succession is documented once in the entire system — Soraya as interim CI DRI if Nicole is out.</t>
        </is>
      </c>
      <c r="D12" s="4" t="inlineStr">
        <is>
          <t>No equivalent exists for the Operator, QA Lead, Reg Lead or Creative roles. The repo's stated purpose is succession.</t>
        </is>
      </c>
      <c r="E12" s="4" t="inlineStr">
        <is>
          <t>Alvin to write per-role backups into each role-map</t>
        </is>
      </c>
      <c r="F12" s="5" t="n">
        <v>4</v>
      </c>
      <c r="G12" s="4" t="inlineStr">
        <is>
          <t>.claude/skills/sjs-comp-intel/references/team-ownership.md:95; decisions/log.md:41</t>
        </is>
      </c>
    </row>
    <row r="13">
      <c r="A13" s="20" t="inlineStr">
        <is>
          <t>Open item</t>
        </is>
      </c>
      <c r="B13" s="4" t="inlineStr">
        <is>
          <t>Operations &amp; Supply Chain</t>
        </is>
      </c>
      <c r="C13" s="4" t="inlineStr">
        <is>
          <t>22 tasks from the retired coordinator seat sit unassigned in an archived holding project; 4 are overdue.</t>
        </is>
      </c>
      <c r="D13" s="4" t="inlineStr">
        <is>
          <t>An unassigned task drops out of every per-person sweep and goes stale silently. This is the concrete cost of running the interim split for a quarter.</t>
        </is>
      </c>
      <c r="E13" s="4" t="inlineStr">
        <is>
          <t>Alvin to reassign under the interim split</t>
        </is>
      </c>
      <c r="F13" s="5" t="n">
        <v>3</v>
      </c>
      <c r="G13" s="4" t="inlineStr">
        <is>
          <t>decisions/log.md:60</t>
        </is>
      </c>
    </row>
    <row r="14">
      <c r="A14" s="20" t="inlineStr">
        <is>
          <t>Open item</t>
        </is>
      </c>
      <c r="B14" s="4" t="inlineStr">
        <is>
          <t>IT / Systems &amp; Data</t>
        </is>
      </c>
      <c r="C14" s="4" t="inlineStr">
        <is>
          <t>The departed coordinator's contact wiki page still resolves as an active internal contact.</t>
        </is>
      </c>
      <c r="D14" s="4" t="inlineStr">
        <is>
          <t>All four Outlook and Fireflies bridges load contacts at run time, so mail from a departed employee still classifies as internal.</t>
        </is>
      </c>
      <c r="E14" s="4" t="inlineStr">
        <is>
          <t>Alvin; one-line wiki update</t>
        </is>
      </c>
      <c r="F14" s="5" t="n">
        <v>1</v>
      </c>
      <c r="G14" s="4" t="inlineStr">
        <is>
          <t>decisions/log.md:60</t>
        </is>
      </c>
    </row>
    <row r="15">
      <c r="A15" s="20" t="inlineStr">
        <is>
          <t>Open item</t>
        </is>
      </c>
      <c r="B15" s="4" t="inlineStr">
        <is>
          <t>IT / Systems &amp; Data</t>
        </is>
      </c>
      <c r="C15" s="4" t="inlineStr">
        <is>
          <t>Job 0 wiki write-back has not fired since 2026-05-26. 123 of 133 pages are untouched seed content.</t>
        </is>
      </c>
      <c r="D15" s="4" t="inlineStr">
        <is>
          <t>The bridges' runtime lexicon is reading stale seed data, which degrades vendor, contact and product recognition on every sweep.</t>
        </is>
      </c>
      <c r="E15" s="4" t="inlineStr">
        <is>
          <t>Alvin; part of the skills-architecture backlog</t>
        </is>
      </c>
      <c r="F15" s="5" t="n">
        <v>8</v>
      </c>
      <c r="G15" s="4" t="inlineStr">
        <is>
          <t>decisions/wiki-layer-audit-2026-07-29.md:52; decisions/log.md:75</t>
        </is>
      </c>
    </row>
    <row r="16">
      <c r="A16" s="20" t="inlineStr">
        <is>
          <t>Open item</t>
        </is>
      </c>
      <c r="B16" s="4" t="inlineStr">
        <is>
          <t>Quality</t>
        </is>
      </c>
      <c r="C16" s="4" t="inlineStr">
        <is>
          <t>Nine SOPs and forms are showing 29 days overdue on annual review.</t>
        </is>
      </c>
      <c r="D16" s="4" t="inlineStr">
        <is>
          <t>next_review_date was NULL on all 13 PLM rows, so the annual-review sweep had nothing to fire on. Dates are restored; the reviews are not done, and each needs QA Lead sign-off.</t>
        </is>
      </c>
      <c r="E16" s="4" t="inlineStr">
        <is>
          <t>Perrine approves; Alvin stages</t>
        </is>
      </c>
      <c r="F16" s="5" t="n">
        <v>12</v>
      </c>
      <c r="G16" s="4" t="inlineStr">
        <is>
          <t>decisions/log.md:69</t>
        </is>
      </c>
    </row>
    <row r="17">
      <c r="A17" s="20" t="inlineStr">
        <is>
          <t>Uncovered brand</t>
        </is>
      </c>
      <c r="B17" s="4" t="inlineStr">
        <is>
          <t>All functions</t>
        </is>
      </c>
      <c r="C17" s="4" t="inlineStr">
        <is>
          <t>Sweet July, the lifestyle brand, has no skill coverage. The entire suite is Sweet July Skin plus org-level work.</t>
        </is>
      </c>
      <c r="D17" s="4" t="inlineStr">
        <is>
          <t>Merch, licensing and non-skincare retail are run somewhere, but nothing in SJ-OS describes who owns them or how. They cannot be put on a RACI from these sources.</t>
        </is>
      </c>
      <c r="E17" s="4" t="inlineStr">
        <is>
          <t>Danielle to confirm scope before the next RACI pass</t>
        </is>
      </c>
      <c r="F17" s="5" t="n">
        <v>0</v>
      </c>
      <c r="G17" s="4" t="inlineStr">
        <is>
          <t>references/architecture/system_map.md:3; context/about-business.md:3</t>
        </is>
      </c>
    </row>
    <row r="19">
      <c r="A19" s="12" t="inlineStr">
        <is>
          <t>Hours per month</t>
        </is>
      </c>
      <c r="C19" s="13" t="inlineStr">
        <is>
          <t>Rough estimates. Vacant-seat rows are full-time-equivalent load, not incremental. Zero means the gap is a structural exposure rather than unbilled hours.</t>
        </is>
      </c>
    </row>
  </sheetData>
  <autoFilter ref="A1:G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2026-07-31T05:00:39Z</dcterms:created>
  <dcterms:modified xsi:type="dcterms:W3CDTF">2026-07-31T05:00:39Z</dcterms:modified>
</cp:coreProperties>
</file>